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cuments\nigeriafolder\NIGERIA-KIDNAPPING-\"/>
    </mc:Choice>
  </mc:AlternateContent>
  <xr:revisionPtr revIDLastSave="0" documentId="13_ncr:1_{BDA3C924-9FB6-41EE-BB1A-F5C2F9595A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vot table" sheetId="6" r:id="rId1"/>
    <sheet name="Table1_2" sheetId="5" r:id="rId2"/>
    <sheet name="Pivot chart" sheetId="7" r:id="rId3"/>
    <sheet name="Dashboard" sheetId="8" r:id="rId4"/>
  </sheets>
  <definedNames>
    <definedName name="_xlchart.v5.0" hidden="1">'Pivot chart'!$A$18</definedName>
    <definedName name="_xlchart.v5.1" hidden="1">'Pivot chart'!$A$19:$A$32</definedName>
    <definedName name="_xlchart.v5.2" hidden="1">'Pivot chart'!$B$18</definedName>
    <definedName name="_xlchart.v5.3" hidden="1">'Pivot chart'!$B$19:$B$32</definedName>
    <definedName name="_xlcn.WorksheetConnection_nigeria_kidnapping_datasetgrp.xlsxTable1_3" hidden="1">Table1_3[]</definedName>
    <definedName name="ExternalData_2" localSheetId="1" hidden="1">Table1_2!$A$1:$Q$201</definedName>
    <definedName name="TA">'Pivot table'!$F$54</definedName>
    <definedName name="TD">'Pivot table'!$G$54</definedName>
    <definedName name="TI">'Pivot table'!$J$56</definedName>
    <definedName name="TU">'Pivot table'!$H$54</definedName>
    <definedName name="TV">'Pivot table'!$J$53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15="http://schemas.microsoft.com/office/spreadsheetml/2010/11/main" uri="{FCE2AD5D-F65C-4FA6-A056-5C36A1767C68}">
      <x15:dataModel>
        <x15:modelTables>
          <x15:modelTable id="Table1_2_dfc9de4b-9d33-4cdf-8b3d-7296f3a60b2a" name="Table1_2" connection="Query - Table1_2"/>
          <x15:modelTable id="Table1_3" name="Table1_3" connection="WorksheetConnection_nigeria_kidnapping_dataset grp.xlsx!Table1_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C345DA-64B2-46C3-8BE7-30FE57C9D632}" keepAlive="1" name="ModelConnection_ExternalData_2" description="Data Model" type="5" refreshedVersion="8" minRefreshableVersion="5" saveData="1">
    <dbPr connection="Data Model Connection" command="Table1_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960E57A-9916-4290-8A00-2EE86AC6B278}" name="Query - Table1_2" description="Connection to the 'Table1_2' query in the workbook." type="100" refreshedVersion="8" minRefreshableVersion="5">
    <extLst>
      <ext xmlns:x15="http://schemas.microsoft.com/office/spreadsheetml/2010/11/main" uri="{DE250136-89BD-433C-8126-D09CA5730AF9}">
        <x15:connection id="eb041d67-c42a-4a9f-9e47-e106ea044248"/>
      </ext>
    </extLst>
  </connection>
  <connection id="3" xr16:uid="{5D9B8FC9-C234-41D3-8158-78A770DFD0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1726DFA-0E99-4E4F-9475-2A135B7A30E3}" name="WorksheetConnection_nigeria_kidnapping_dataset grp.xlsx!Table1_3" type="102" refreshedVersion="8" minRefreshableVersion="5">
    <extLst>
      <ext xmlns:x15="http://schemas.microsoft.com/office/spreadsheetml/2010/11/main" uri="{DE250136-89BD-433C-8126-D09CA5730AF9}">
        <x15:connection id="Table1_3" autoDelete="1">
          <x15:rangePr sourceName="_xlcn.WorksheetConnection_nigeria_kidnapping_datasetgrp.xlsxTable1_3"/>
        </x15:connection>
      </ext>
    </extLst>
  </connection>
</connections>
</file>

<file path=xl/sharedStrings.xml><?xml version="1.0" encoding="utf-8"?>
<sst xmlns="http://schemas.openxmlformats.org/spreadsheetml/2006/main" count="1991" uniqueCount="277">
  <si>
    <t>Incident_ID</t>
  </si>
  <si>
    <t>Date</t>
  </si>
  <si>
    <t>State</t>
  </si>
  <si>
    <t>Region</t>
  </si>
  <si>
    <t>Location_Type</t>
  </si>
  <si>
    <t>Victims_Count</t>
  </si>
  <si>
    <t>Ransom_Demanded_NGN</t>
  </si>
  <si>
    <t>Ransom_Paid_NGN</t>
  </si>
  <si>
    <t>Outcome</t>
  </si>
  <si>
    <t>Security_Response</t>
  </si>
  <si>
    <t>Urban_Rural</t>
  </si>
  <si>
    <t>Latitude</t>
  </si>
  <si>
    <t>Longitude</t>
  </si>
  <si>
    <t>INC001</t>
  </si>
  <si>
    <t>Anambra</t>
  </si>
  <si>
    <t>South East</t>
  </si>
  <si>
    <t>Waterway</t>
  </si>
  <si>
    <t>Kidnapped</t>
  </si>
  <si>
    <t>Quick</t>
  </si>
  <si>
    <t>Urban</t>
  </si>
  <si>
    <t>INC002</t>
  </si>
  <si>
    <t>Delta</t>
  </si>
  <si>
    <t>South South</t>
  </si>
  <si>
    <t>School</t>
  </si>
  <si>
    <t>Killed</t>
  </si>
  <si>
    <t>Moderate</t>
  </si>
  <si>
    <t>INC003</t>
  </si>
  <si>
    <t>Benue</t>
  </si>
  <si>
    <t>North Central</t>
  </si>
  <si>
    <t>Market</t>
  </si>
  <si>
    <t>Escaped</t>
  </si>
  <si>
    <t>Delayed</t>
  </si>
  <si>
    <t>INC004</t>
  </si>
  <si>
    <t>Rivers</t>
  </si>
  <si>
    <t>No Response</t>
  </si>
  <si>
    <t>INC005</t>
  </si>
  <si>
    <t>Kaduna</t>
  </si>
  <si>
    <t>North West</t>
  </si>
  <si>
    <t>Village</t>
  </si>
  <si>
    <t>Rural</t>
  </si>
  <si>
    <t>INC006</t>
  </si>
  <si>
    <t>INC007</t>
  </si>
  <si>
    <t>Residential</t>
  </si>
  <si>
    <t>INC008</t>
  </si>
  <si>
    <t>Katsina</t>
  </si>
  <si>
    <t>INC009</t>
  </si>
  <si>
    <t>INC010</t>
  </si>
  <si>
    <t>Road</t>
  </si>
  <si>
    <t>INC011</t>
  </si>
  <si>
    <t>Oyo</t>
  </si>
  <si>
    <t>South West</t>
  </si>
  <si>
    <t>INC012</t>
  </si>
  <si>
    <t>Kano</t>
  </si>
  <si>
    <t>INC013</t>
  </si>
  <si>
    <t>Borno</t>
  </si>
  <si>
    <t>North East</t>
  </si>
  <si>
    <t>Farm</t>
  </si>
  <si>
    <t>INC014</t>
  </si>
  <si>
    <t>Ogun</t>
  </si>
  <si>
    <t>INC015</t>
  </si>
  <si>
    <t>INC016</t>
  </si>
  <si>
    <t>Abuja</t>
  </si>
  <si>
    <t>INC017</t>
  </si>
  <si>
    <t>INC018</t>
  </si>
  <si>
    <t>INC019</t>
  </si>
  <si>
    <t>Zamfara</t>
  </si>
  <si>
    <t>INC020</t>
  </si>
  <si>
    <t>Lagos</t>
  </si>
  <si>
    <t>INC021</t>
  </si>
  <si>
    <t>Released</t>
  </si>
  <si>
    <t>INC022</t>
  </si>
  <si>
    <t>INC023</t>
  </si>
  <si>
    <t>INC024</t>
  </si>
  <si>
    <t>INC025</t>
  </si>
  <si>
    <t>INC026</t>
  </si>
  <si>
    <t>INC027</t>
  </si>
  <si>
    <t>INC028</t>
  </si>
  <si>
    <t>INC029</t>
  </si>
  <si>
    <t>INC030</t>
  </si>
  <si>
    <t>INC031</t>
  </si>
  <si>
    <t>INC032</t>
  </si>
  <si>
    <t>INC033</t>
  </si>
  <si>
    <t>INC034</t>
  </si>
  <si>
    <t>INC035</t>
  </si>
  <si>
    <t>INC036</t>
  </si>
  <si>
    <t>INC037</t>
  </si>
  <si>
    <t>INC038</t>
  </si>
  <si>
    <t>INC039</t>
  </si>
  <si>
    <t>INC040</t>
  </si>
  <si>
    <t>INC041</t>
  </si>
  <si>
    <t>INC042</t>
  </si>
  <si>
    <t>INC043</t>
  </si>
  <si>
    <t>INC044</t>
  </si>
  <si>
    <t>INC045</t>
  </si>
  <si>
    <t>INC046</t>
  </si>
  <si>
    <t>INC047</t>
  </si>
  <si>
    <t>INC048</t>
  </si>
  <si>
    <t>INC049</t>
  </si>
  <si>
    <t>INC050</t>
  </si>
  <si>
    <t>INC051</t>
  </si>
  <si>
    <t>INC052</t>
  </si>
  <si>
    <t>INC053</t>
  </si>
  <si>
    <t>INC054</t>
  </si>
  <si>
    <t>INC055</t>
  </si>
  <si>
    <t>INC056</t>
  </si>
  <si>
    <t>INC057</t>
  </si>
  <si>
    <t>INC058</t>
  </si>
  <si>
    <t>INC059</t>
  </si>
  <si>
    <t>INC060</t>
  </si>
  <si>
    <t>INC061</t>
  </si>
  <si>
    <t>INC062</t>
  </si>
  <si>
    <t>INC063</t>
  </si>
  <si>
    <t>INC064</t>
  </si>
  <si>
    <t>INC065</t>
  </si>
  <si>
    <t>INC066</t>
  </si>
  <si>
    <t>INC067</t>
  </si>
  <si>
    <t>INC068</t>
  </si>
  <si>
    <t>INC069</t>
  </si>
  <si>
    <t>INC070</t>
  </si>
  <si>
    <t>INC071</t>
  </si>
  <si>
    <t>INC072</t>
  </si>
  <si>
    <t>INC073</t>
  </si>
  <si>
    <t>INC074</t>
  </si>
  <si>
    <t>INC075</t>
  </si>
  <si>
    <t>INC076</t>
  </si>
  <si>
    <t>INC077</t>
  </si>
  <si>
    <t>INC078</t>
  </si>
  <si>
    <t>INC079</t>
  </si>
  <si>
    <t>INC080</t>
  </si>
  <si>
    <t>INC081</t>
  </si>
  <si>
    <t>INC082</t>
  </si>
  <si>
    <t>INC083</t>
  </si>
  <si>
    <t>INC084</t>
  </si>
  <si>
    <t>INC085</t>
  </si>
  <si>
    <t>INC086</t>
  </si>
  <si>
    <t>INC087</t>
  </si>
  <si>
    <t>INC088</t>
  </si>
  <si>
    <t>INC089</t>
  </si>
  <si>
    <t>INC090</t>
  </si>
  <si>
    <t>INC091</t>
  </si>
  <si>
    <t>INC092</t>
  </si>
  <si>
    <t>INC093</t>
  </si>
  <si>
    <t>INC094</t>
  </si>
  <si>
    <t>INC095</t>
  </si>
  <si>
    <t>INC096</t>
  </si>
  <si>
    <t>INC097</t>
  </si>
  <si>
    <t>INC098</t>
  </si>
  <si>
    <t>INC099</t>
  </si>
  <si>
    <t>INC100</t>
  </si>
  <si>
    <t>INC101</t>
  </si>
  <si>
    <t>INC102</t>
  </si>
  <si>
    <t>INC103</t>
  </si>
  <si>
    <t>INC104</t>
  </si>
  <si>
    <t>INC105</t>
  </si>
  <si>
    <t>INC106</t>
  </si>
  <si>
    <t>INC107</t>
  </si>
  <si>
    <t>INC108</t>
  </si>
  <si>
    <t>INC109</t>
  </si>
  <si>
    <t>INC110</t>
  </si>
  <si>
    <t>INC111</t>
  </si>
  <si>
    <t>INC112</t>
  </si>
  <si>
    <t>INC113</t>
  </si>
  <si>
    <t>INC114</t>
  </si>
  <si>
    <t>INC115</t>
  </si>
  <si>
    <t>INC116</t>
  </si>
  <si>
    <t>INC117</t>
  </si>
  <si>
    <t>INC118</t>
  </si>
  <si>
    <t>INC119</t>
  </si>
  <si>
    <t>INC120</t>
  </si>
  <si>
    <t>INC121</t>
  </si>
  <si>
    <t>INC122</t>
  </si>
  <si>
    <t>INC123</t>
  </si>
  <si>
    <t>INC124</t>
  </si>
  <si>
    <t>INC125</t>
  </si>
  <si>
    <t>INC126</t>
  </si>
  <si>
    <t>INC127</t>
  </si>
  <si>
    <t>INC128</t>
  </si>
  <si>
    <t>INC129</t>
  </si>
  <si>
    <t>INC130</t>
  </si>
  <si>
    <t>INC131</t>
  </si>
  <si>
    <t>INC132</t>
  </si>
  <si>
    <t>INC133</t>
  </si>
  <si>
    <t>INC134</t>
  </si>
  <si>
    <t>INC135</t>
  </si>
  <si>
    <t>INC136</t>
  </si>
  <si>
    <t>INC137</t>
  </si>
  <si>
    <t>INC138</t>
  </si>
  <si>
    <t>INC139</t>
  </si>
  <si>
    <t>INC140</t>
  </si>
  <si>
    <t>INC141</t>
  </si>
  <si>
    <t>INC142</t>
  </si>
  <si>
    <t>INC143</t>
  </si>
  <si>
    <t>INC144</t>
  </si>
  <si>
    <t>INC145</t>
  </si>
  <si>
    <t>INC146</t>
  </si>
  <si>
    <t>INC147</t>
  </si>
  <si>
    <t>INC148</t>
  </si>
  <si>
    <t>INC149</t>
  </si>
  <si>
    <t>INC150</t>
  </si>
  <si>
    <t>INC151</t>
  </si>
  <si>
    <t>INC152</t>
  </si>
  <si>
    <t>INC153</t>
  </si>
  <si>
    <t>INC154</t>
  </si>
  <si>
    <t>INC155</t>
  </si>
  <si>
    <t>INC156</t>
  </si>
  <si>
    <t>INC157</t>
  </si>
  <si>
    <t>INC158</t>
  </si>
  <si>
    <t>INC159</t>
  </si>
  <si>
    <t>INC160</t>
  </si>
  <si>
    <t>INC161</t>
  </si>
  <si>
    <t>INC162</t>
  </si>
  <si>
    <t>INC163</t>
  </si>
  <si>
    <t>INC164</t>
  </si>
  <si>
    <t>INC165</t>
  </si>
  <si>
    <t>INC166</t>
  </si>
  <si>
    <t>INC167</t>
  </si>
  <si>
    <t>INC168</t>
  </si>
  <si>
    <t>INC169</t>
  </si>
  <si>
    <t>INC170</t>
  </si>
  <si>
    <t>INC171</t>
  </si>
  <si>
    <t>INC172</t>
  </si>
  <si>
    <t>INC173</t>
  </si>
  <si>
    <t>INC174</t>
  </si>
  <si>
    <t>INC175</t>
  </si>
  <si>
    <t>INC176</t>
  </si>
  <si>
    <t>INC177</t>
  </si>
  <si>
    <t>INC178</t>
  </si>
  <si>
    <t>INC179</t>
  </si>
  <si>
    <t>INC180</t>
  </si>
  <si>
    <t>INC181</t>
  </si>
  <si>
    <t>INC182</t>
  </si>
  <si>
    <t>INC183</t>
  </si>
  <si>
    <t>INC184</t>
  </si>
  <si>
    <t>INC185</t>
  </si>
  <si>
    <t>INC186</t>
  </si>
  <si>
    <t>INC187</t>
  </si>
  <si>
    <t>INC188</t>
  </si>
  <si>
    <t>INC189</t>
  </si>
  <si>
    <t>INC190</t>
  </si>
  <si>
    <t>INC191</t>
  </si>
  <si>
    <t>INC192</t>
  </si>
  <si>
    <t>INC193</t>
  </si>
  <si>
    <t>INC194</t>
  </si>
  <si>
    <t>INC195</t>
  </si>
  <si>
    <t>INC196</t>
  </si>
  <si>
    <t>INC197</t>
  </si>
  <si>
    <t>INC198</t>
  </si>
  <si>
    <t>INC199</t>
  </si>
  <si>
    <t>INC200</t>
  </si>
  <si>
    <t>Month</t>
  </si>
  <si>
    <t>Year</t>
  </si>
  <si>
    <t>Oct</t>
  </si>
  <si>
    <t>Jun</t>
  </si>
  <si>
    <t>Jan</t>
  </si>
  <si>
    <t>Aug</t>
  </si>
  <si>
    <t>Feb</t>
  </si>
  <si>
    <t>Mar</t>
  </si>
  <si>
    <t>Sep</t>
  </si>
  <si>
    <t>Apr</t>
  </si>
  <si>
    <t>May</t>
  </si>
  <si>
    <t>Nov</t>
  </si>
  <si>
    <t>Jul</t>
  </si>
  <si>
    <t>Dec</t>
  </si>
  <si>
    <t>Ransom_gap</t>
  </si>
  <si>
    <t>Survival_Flap</t>
  </si>
  <si>
    <t>Alive</t>
  </si>
  <si>
    <t>Unknown</t>
  </si>
  <si>
    <t>Dead</t>
  </si>
  <si>
    <t>Row Labels</t>
  </si>
  <si>
    <t>Grand Total</t>
  </si>
  <si>
    <t>Count of Incident_ID</t>
  </si>
  <si>
    <t>Count of Outcome</t>
  </si>
  <si>
    <t>Column Labels</t>
  </si>
  <si>
    <t>Sum of Count of Incident_ID</t>
  </si>
  <si>
    <t>Average of Ransom_Demanded_NGN</t>
  </si>
  <si>
    <t>Average of Ransom_Paid_NGN</t>
  </si>
  <si>
    <t>Sum of Victims_Count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</si>
</sst>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0000]\₦0.0000,,&quot;M&quot;;[&gt;=1000]\₦0.0000,&quot;K&quot;;\₦0.0000"/>
    <numFmt numFmtId="165" formatCode="[&gt;=1000000]\₦0,,&quot;M&quot;;[&gt;=1000]\₦0,&quot;K&quot;;\₦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65" formatCode="[&gt;=1000000]\₦0,,&quot;M&quot;;[&gt;=1000]\₦0,&quot;K&quot;;\₦0"/>
    </dxf>
    <dxf>
      <numFmt numFmtId="164" formatCode="[&gt;=1000000]\₦0.0000,,&quot;M&quot;;[&gt;=1000]\₦0.0000,&quot;K&quot;;\₦0.0000"/>
    </dxf>
    <dxf>
      <numFmt numFmtId="166" formatCode="[&gt;=1000000]0.0000,,&quot;M&quot;;[&gt;=1000]0.0000,&quot;K&quot;;0.0000"/>
    </dxf>
  </dxfs>
  <tableStyles count="0" defaultTableStyle="TableStyleMedium9" defaultPivotStyle="PivotStyleLight16"/>
  <colors>
    <mruColors>
      <color rgb="FF008B2C"/>
      <color rgb="FF1B7339"/>
      <color rgb="FF008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table!PivotTable6</c:name>
    <c:fmtId val="4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B7339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B7339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B7339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1B7339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96178029863945E-2"/>
          <c:y val="2.8237042974951426E-2"/>
          <c:w val="0.83411072032969469"/>
          <c:h val="0.85818271108937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table'!$E$24:$E$25</c:f>
              <c:strCache>
                <c:ptCount val="1"/>
                <c:pt idx="0">
                  <c:v>Escaped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B7339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table'!$D$26:$D$30</c:f>
              <c:strCache>
                <c:ptCount val="4"/>
                <c:pt idx="0">
                  <c:v>Delayed</c:v>
                </c:pt>
                <c:pt idx="1">
                  <c:v>Moderate</c:v>
                </c:pt>
                <c:pt idx="2">
                  <c:v>No Response</c:v>
                </c:pt>
                <c:pt idx="3">
                  <c:v>Quick</c:v>
                </c:pt>
              </c:strCache>
            </c:strRef>
          </c:cat>
          <c:val>
            <c:numRef>
              <c:f>'Pivot table'!$E$26:$E$30</c:f>
              <c:numCache>
                <c:formatCode>General</c:formatCode>
                <c:ptCount val="4"/>
                <c:pt idx="0">
                  <c:v>25</c:v>
                </c:pt>
                <c:pt idx="1">
                  <c:v>8</c:v>
                </c:pt>
                <c:pt idx="2">
                  <c:v>7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1-4EC7-A3CF-DC4E976D0264}"/>
            </c:ext>
          </c:extLst>
        </c:ser>
        <c:ser>
          <c:idx val="1"/>
          <c:order val="1"/>
          <c:tx>
            <c:strRef>
              <c:f>'Pivot table'!$F$24:$F$25</c:f>
              <c:strCache>
                <c:ptCount val="1"/>
                <c:pt idx="0">
                  <c:v>Kidnapped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B7339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table'!$D$26:$D$30</c:f>
              <c:strCache>
                <c:ptCount val="4"/>
                <c:pt idx="0">
                  <c:v>Delayed</c:v>
                </c:pt>
                <c:pt idx="1">
                  <c:v>Moderate</c:v>
                </c:pt>
                <c:pt idx="2">
                  <c:v>No Response</c:v>
                </c:pt>
                <c:pt idx="3">
                  <c:v>Quick</c:v>
                </c:pt>
              </c:strCache>
            </c:strRef>
          </c:cat>
          <c:val>
            <c:numRef>
              <c:f>'Pivot table'!$F$26:$F$30</c:f>
              <c:numCache>
                <c:formatCode>General</c:formatCode>
                <c:ptCount val="4"/>
                <c:pt idx="0">
                  <c:v>10</c:v>
                </c:pt>
                <c:pt idx="1">
                  <c:v>21</c:v>
                </c:pt>
                <c:pt idx="2">
                  <c:v>5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1-4EC7-A3CF-DC4E976D0264}"/>
            </c:ext>
          </c:extLst>
        </c:ser>
        <c:ser>
          <c:idx val="2"/>
          <c:order val="2"/>
          <c:tx>
            <c:strRef>
              <c:f>'Pivot table'!$G$24:$G$25</c:f>
              <c:strCache>
                <c:ptCount val="1"/>
                <c:pt idx="0">
                  <c:v>Killed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B7339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table'!$D$26:$D$30</c:f>
              <c:strCache>
                <c:ptCount val="4"/>
                <c:pt idx="0">
                  <c:v>Delayed</c:v>
                </c:pt>
                <c:pt idx="1">
                  <c:v>Moderate</c:v>
                </c:pt>
                <c:pt idx="2">
                  <c:v>No Response</c:v>
                </c:pt>
                <c:pt idx="3">
                  <c:v>Quick</c:v>
                </c:pt>
              </c:strCache>
            </c:strRef>
          </c:cat>
          <c:val>
            <c:numRef>
              <c:f>'Pivot table'!$G$26:$G$30</c:f>
              <c:numCache>
                <c:formatCode>General</c:formatCode>
                <c:ptCount val="4"/>
                <c:pt idx="0">
                  <c:v>15</c:v>
                </c:pt>
                <c:pt idx="1">
                  <c:v>16</c:v>
                </c:pt>
                <c:pt idx="2">
                  <c:v>10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1-4EC7-A3CF-DC4E976D0264}"/>
            </c:ext>
          </c:extLst>
        </c:ser>
        <c:ser>
          <c:idx val="3"/>
          <c:order val="3"/>
          <c:tx>
            <c:strRef>
              <c:f>'Pivot table'!$H$24:$H$25</c:f>
              <c:strCache>
                <c:ptCount val="1"/>
                <c:pt idx="0">
                  <c:v>Released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1B7339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table'!$D$26:$D$30</c:f>
              <c:strCache>
                <c:ptCount val="4"/>
                <c:pt idx="0">
                  <c:v>Delayed</c:v>
                </c:pt>
                <c:pt idx="1">
                  <c:v>Moderate</c:v>
                </c:pt>
                <c:pt idx="2">
                  <c:v>No Response</c:v>
                </c:pt>
                <c:pt idx="3">
                  <c:v>Quick</c:v>
                </c:pt>
              </c:strCache>
            </c:strRef>
          </c:cat>
          <c:val>
            <c:numRef>
              <c:f>'Pivot table'!$H$26:$H$30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E1-4EC7-A3CF-DC4E976D02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6513712"/>
        <c:axId val="446513232"/>
      </c:barChart>
      <c:catAx>
        <c:axId val="4465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8B2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13232"/>
        <c:crosses val="autoZero"/>
        <c:auto val="1"/>
        <c:lblAlgn val="ctr"/>
        <c:lblOffset val="100"/>
        <c:noMultiLvlLbl val="0"/>
      </c:catAx>
      <c:valAx>
        <c:axId val="4465132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4651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16958873292179"/>
          <c:y val="0.21369400383403031"/>
          <c:w val="0.15226023213194864"/>
          <c:h val="0.6231489666491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B7339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table!PivotTable21</c:name>
    <c:fmtId val="8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06761844177817"/>
          <c:y val="7.694605670253038E-2"/>
          <c:w val="0.63059448818897634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table'!$F$57:$F$58</c:f>
              <c:strCache>
                <c:ptCount val="1"/>
                <c:pt idx="0">
                  <c:v>Alive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table'!$E$59:$E$65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'Pivot table'!$F$59:$F$65</c:f>
              <c:numCache>
                <c:formatCode>General</c:formatCode>
                <c:ptCount val="6"/>
                <c:pt idx="0">
                  <c:v>377</c:v>
                </c:pt>
                <c:pt idx="1">
                  <c:v>98</c:v>
                </c:pt>
                <c:pt idx="2">
                  <c:v>699</c:v>
                </c:pt>
                <c:pt idx="3">
                  <c:v>83</c:v>
                </c:pt>
                <c:pt idx="4">
                  <c:v>197</c:v>
                </c:pt>
                <c:pt idx="5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0-497D-A093-421D21F608F1}"/>
            </c:ext>
          </c:extLst>
        </c:ser>
        <c:ser>
          <c:idx val="1"/>
          <c:order val="1"/>
          <c:tx>
            <c:strRef>
              <c:f>'Pivot table'!$G$57:$G$58</c:f>
              <c:strCache>
                <c:ptCount val="1"/>
                <c:pt idx="0">
                  <c:v>Dead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table'!$E$59:$E$65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'Pivot table'!$G$59:$G$65</c:f>
              <c:numCache>
                <c:formatCode>General</c:formatCode>
                <c:ptCount val="6"/>
                <c:pt idx="0">
                  <c:v>179</c:v>
                </c:pt>
                <c:pt idx="1">
                  <c:v>155</c:v>
                </c:pt>
                <c:pt idx="2">
                  <c:v>428</c:v>
                </c:pt>
                <c:pt idx="3">
                  <c:v>85</c:v>
                </c:pt>
                <c:pt idx="4">
                  <c:v>160</c:v>
                </c:pt>
                <c:pt idx="5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60-497D-A093-421D21F608F1}"/>
            </c:ext>
          </c:extLst>
        </c:ser>
        <c:ser>
          <c:idx val="2"/>
          <c:order val="2"/>
          <c:tx>
            <c:strRef>
              <c:f>'Pivot table'!$H$57:$H$58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table'!$E$59:$E$65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'Pivot table'!$H$59:$H$65</c:f>
              <c:numCache>
                <c:formatCode>General</c:formatCode>
                <c:ptCount val="6"/>
                <c:pt idx="0">
                  <c:v>255</c:v>
                </c:pt>
                <c:pt idx="1">
                  <c:v>94</c:v>
                </c:pt>
                <c:pt idx="2">
                  <c:v>317</c:v>
                </c:pt>
                <c:pt idx="3">
                  <c:v>158</c:v>
                </c:pt>
                <c:pt idx="4">
                  <c:v>156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60-497D-A093-421D21F6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11464480"/>
        <c:axId val="2011464960"/>
      </c:barChart>
      <c:catAx>
        <c:axId val="201146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8B2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4960"/>
        <c:crosses val="autoZero"/>
        <c:auto val="1"/>
        <c:lblAlgn val="ctr"/>
        <c:lblOffset val="100"/>
        <c:noMultiLvlLbl val="0"/>
      </c:catAx>
      <c:valAx>
        <c:axId val="2011464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146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80193071120788"/>
          <c:y val="0.19983422377045484"/>
          <c:w val="0.17442255922323557"/>
          <c:h val="0.61278438042768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8B2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table!PivotTable3</c:name>
    <c:fmtId val="5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11111111111109E-2"/>
          <c:y val="5.5555555555555552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Average of Ransom_Demanded_NGN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8B2C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table'!$D$14:$D$20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'Pivot table'!$E$14:$E$20</c:f>
              <c:numCache>
                <c:formatCode>[&gt;=1000000]\₦0,,"M";[&gt;=1000]\₦0,"K";\₦0</c:formatCode>
                <c:ptCount val="6"/>
                <c:pt idx="0">
                  <c:v>38299281.305555552</c:v>
                </c:pt>
                <c:pt idx="1">
                  <c:v>59107514.714285716</c:v>
                </c:pt>
                <c:pt idx="2">
                  <c:v>37960950.826666668</c:v>
                </c:pt>
                <c:pt idx="3">
                  <c:v>34256171</c:v>
                </c:pt>
                <c:pt idx="4">
                  <c:v>32143816.260869566</c:v>
                </c:pt>
                <c:pt idx="5">
                  <c:v>37721681.611111112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6-42CD-8A6F-2E1E94925751}"/>
            </c:ext>
          </c:extLst>
        </c:ser>
        <c:ser>
          <c:idx val="1"/>
          <c:order val="1"/>
          <c:tx>
            <c:strRef>
              <c:f>'Pivot table'!$F$13</c:f>
              <c:strCache>
                <c:ptCount val="1"/>
                <c:pt idx="0">
                  <c:v>Average of Ransom_Paid_NGN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8B2C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table'!$D$14:$D$20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'Pivot table'!$F$14:$F$20</c:f>
              <c:numCache>
                <c:formatCode>[&gt;=1000000]\₦0,,"M";[&gt;=1000]\₦0,"K";\₦0</c:formatCode>
                <c:ptCount val="6"/>
                <c:pt idx="0">
                  <c:v>21673400.472222224</c:v>
                </c:pt>
                <c:pt idx="1">
                  <c:v>18463770.571428571</c:v>
                </c:pt>
                <c:pt idx="2">
                  <c:v>12623663.48</c:v>
                </c:pt>
                <c:pt idx="3">
                  <c:v>9995479.875</c:v>
                </c:pt>
                <c:pt idx="4">
                  <c:v>20760651.869565219</c:v>
                </c:pt>
                <c:pt idx="5">
                  <c:v>12920803.138888888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6-42CD-8A6F-2E1E949257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6817216"/>
        <c:axId val="1466821536"/>
      </c:barChart>
      <c:catAx>
        <c:axId val="14668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8B2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466821536"/>
        <c:crosses val="autoZero"/>
        <c:auto val="1"/>
        <c:lblAlgn val="ctr"/>
        <c:lblOffset val="100"/>
        <c:noMultiLvlLbl val="0"/>
      </c:catAx>
      <c:valAx>
        <c:axId val="1466821536"/>
        <c:scaling>
          <c:orientation val="minMax"/>
        </c:scaling>
        <c:delete val="1"/>
        <c:axPos val="l"/>
        <c:numFmt formatCode="[&gt;=1000000]\₦0,,&quot;M&quot;;[&gt;=1000]\₦0,&quot;K&quot;;\₦0" sourceLinked="1"/>
        <c:majorTickMark val="none"/>
        <c:minorTickMark val="none"/>
        <c:tickLblPos val="nextTo"/>
        <c:crossAx val="14668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table!PivotTable4</c:name>
    <c:fmtId val="4"/>
  </c:pivotSource>
  <c:chart>
    <c:autoTitleDeleted val="1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D-4E0E-A18A-01D3939607D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D-4E0E-A18A-01D3939607D4}"/>
              </c:ext>
            </c:extLst>
          </c:dPt>
          <c:cat>
            <c:strRef>
              <c:f>'Pivot table'!$A$25:$A$27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'Pivot table'!$B$25:$B$27</c:f>
              <c:numCache>
                <c:formatCode>General</c:formatCode>
                <c:ptCount val="2"/>
                <c:pt idx="0">
                  <c:v>118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D-4E0E-A18A-01D39396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60072420676249"/>
          <c:y val="0.31349498289034683"/>
          <c:w val="0.18906597402400641"/>
          <c:h val="0.5693174392677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1B7339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table!PivotTable19</c:name>
    <c:fmtId val="1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8B2C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table'!$A$53:$A$60</c:f>
              <c:strCache>
                <c:ptCount val="7"/>
                <c:pt idx="0">
                  <c:v>Market</c:v>
                </c:pt>
                <c:pt idx="1">
                  <c:v>School</c:v>
                </c:pt>
                <c:pt idx="2">
                  <c:v>Road</c:v>
                </c:pt>
                <c:pt idx="3">
                  <c:v>Farm</c:v>
                </c:pt>
                <c:pt idx="4">
                  <c:v>Waterway</c:v>
                </c:pt>
                <c:pt idx="5">
                  <c:v>Residential</c:v>
                </c:pt>
                <c:pt idx="6">
                  <c:v>Village</c:v>
                </c:pt>
              </c:strCache>
            </c:strRef>
          </c:cat>
          <c:val>
            <c:numRef>
              <c:f>'Pivot table'!$B$53:$B$60</c:f>
              <c:numCache>
                <c:formatCode>General</c:formatCode>
                <c:ptCount val="7"/>
                <c:pt idx="0">
                  <c:v>34</c:v>
                </c:pt>
                <c:pt idx="1">
                  <c:v>33</c:v>
                </c:pt>
                <c:pt idx="2">
                  <c:v>33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A-4E65-B4F4-81174735B9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1463040"/>
        <c:axId val="2011466400"/>
      </c:barChart>
      <c:catAx>
        <c:axId val="201146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8B2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011466400"/>
        <c:crosses val="autoZero"/>
        <c:auto val="1"/>
        <c:lblAlgn val="ctr"/>
        <c:lblOffset val="100"/>
        <c:noMultiLvlLbl val="0"/>
      </c:catAx>
      <c:valAx>
        <c:axId val="201146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14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table!PivotTable7</c:name>
    <c:fmtId val="7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53975" cap="rnd">
            <a:solidFill>
              <a:srgbClr val="1B7339"/>
            </a:solidFill>
            <a:round/>
          </a:ln>
          <a:effectLst/>
        </c:spPr>
        <c:marker>
          <c:symbol val="circle"/>
          <c:size val="5"/>
          <c:spPr>
            <a:solidFill>
              <a:srgbClr val="92D050"/>
            </a:solidFill>
            <a:ln w="63500">
              <a:solidFill>
                <a:srgbClr val="92D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50800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50000"/>
              </a:schemeClr>
            </a:solidFill>
            <a:ln w="63500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189945478340228E-2"/>
          <c:y val="0.14624989923727416"/>
          <c:w val="0.85557157248758375"/>
          <c:h val="0.6879797425336421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table'!$E$33:$E$34</c:f>
              <c:strCache>
                <c:ptCount val="1"/>
                <c:pt idx="0">
                  <c:v>2023</c:v>
                </c:pt>
              </c:strCache>
            </c:strRef>
          </c:tx>
          <c:spPr>
            <a:ln w="53975" cap="rnd">
              <a:solidFill>
                <a:srgbClr val="1B733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63500">
                <a:solidFill>
                  <a:srgbClr val="92D050"/>
                </a:solidFill>
              </a:ln>
              <a:effectLst/>
            </c:spPr>
          </c:marker>
          <c:cat>
            <c:strRef>
              <c:f>'Pivot table'!$D$35:$D$47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table'!$E$35:$E$47</c:f>
              <c:numCache>
                <c:formatCode>General</c:formatCode>
                <c:ptCount val="12"/>
                <c:pt idx="0">
                  <c:v>15</c:v>
                </c:pt>
                <c:pt idx="1">
                  <c:v>12</c:v>
                </c:pt>
                <c:pt idx="2">
                  <c:v>18</c:v>
                </c:pt>
                <c:pt idx="3">
                  <c:v>7</c:v>
                </c:pt>
                <c:pt idx="4">
                  <c:v>14</c:v>
                </c:pt>
                <c:pt idx="5">
                  <c:v>6</c:v>
                </c:pt>
                <c:pt idx="6">
                  <c:v>10</c:v>
                </c:pt>
                <c:pt idx="7">
                  <c:v>14</c:v>
                </c:pt>
                <c:pt idx="8">
                  <c:v>16</c:v>
                </c:pt>
                <c:pt idx="9">
                  <c:v>13</c:v>
                </c:pt>
                <c:pt idx="10">
                  <c:v>11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4B-41D6-81A2-D463D97EF376}"/>
            </c:ext>
          </c:extLst>
        </c:ser>
        <c:ser>
          <c:idx val="1"/>
          <c:order val="1"/>
          <c:tx>
            <c:strRef>
              <c:f>'Pivot table'!$F$33:$F$34</c:f>
              <c:strCache>
                <c:ptCount val="1"/>
                <c:pt idx="0">
                  <c:v>2024</c:v>
                </c:pt>
              </c:strCache>
            </c:strRef>
          </c:tx>
          <c:spPr>
            <a:ln w="5080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63500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'Pivot table'!$D$35:$D$47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table'!$F$35:$F$47</c:f>
              <c:numCache>
                <c:formatCode>General</c:formatCode>
                <c:ptCount val="12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4B-41D6-81A2-D463D97EF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431920"/>
        <c:axId val="1829416560"/>
      </c:lineChart>
      <c:catAx>
        <c:axId val="182943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8B2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829416560"/>
        <c:crosses val="autoZero"/>
        <c:auto val="1"/>
        <c:lblAlgn val="ctr"/>
        <c:lblOffset val="100"/>
        <c:noMultiLvlLbl val="0"/>
      </c:catAx>
      <c:valAx>
        <c:axId val="1829416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943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323004337519993"/>
          <c:y val="0.23185958876196786"/>
          <c:w val="0.10814647669224965"/>
          <c:h val="0.52747095720273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8B2C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[nigeria_kidnapping_excelpivotcharts.xlsx]Pivot table!PivotTable2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3">
                  <a:tint val="50000"/>
                  <a:shade val="51000"/>
                  <a:satMod val="130000"/>
                </a:schemeClr>
              </a:gs>
              <a:gs pos="80000">
                <a:schemeClr val="accent3">
                  <a:tint val="50000"/>
                  <a:shade val="93000"/>
                  <a:satMod val="130000"/>
                </a:schemeClr>
              </a:gs>
              <a:gs pos="100000">
                <a:schemeClr val="accent3">
                  <a:tint val="5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7222222222222211"/>
              <c:y val="-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3">
                  <a:tint val="70000"/>
                  <a:shade val="51000"/>
                  <a:satMod val="130000"/>
                </a:schemeClr>
              </a:gs>
              <a:gs pos="80000">
                <a:schemeClr val="accent3">
                  <a:tint val="70000"/>
                  <a:shade val="93000"/>
                  <a:satMod val="130000"/>
                </a:schemeClr>
              </a:gs>
              <a:gs pos="100000">
                <a:schemeClr val="accent3">
                  <a:tint val="7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0277777777777777"/>
              <c:y val="-7.4074074074074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hade val="50000"/>
                  <a:shade val="51000"/>
                  <a:satMod val="130000"/>
                </a:schemeClr>
              </a:gs>
              <a:gs pos="80000">
                <a:schemeClr val="accent3">
                  <a:shade val="50000"/>
                  <a:shade val="93000"/>
                  <a:satMod val="130000"/>
                </a:schemeClr>
              </a:gs>
              <a:gs pos="100000">
                <a:schemeClr val="accent3">
                  <a:shade val="5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5277777777777779"/>
              <c:y val="-8.33333333333333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hade val="70000"/>
                  <a:shade val="51000"/>
                  <a:satMod val="130000"/>
                </a:schemeClr>
              </a:gs>
              <a:gs pos="80000">
                <a:schemeClr val="accent3">
                  <a:shade val="70000"/>
                  <a:shade val="93000"/>
                  <a:satMod val="130000"/>
                </a:schemeClr>
              </a:gs>
              <a:gs pos="100000">
                <a:schemeClr val="accent3">
                  <a:shade val="7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1944444444444445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hade val="90000"/>
                  <a:shade val="51000"/>
                  <a:satMod val="130000"/>
                </a:schemeClr>
              </a:gs>
              <a:gs pos="80000">
                <a:schemeClr val="accent3">
                  <a:shade val="90000"/>
                  <a:shade val="93000"/>
                  <a:satMod val="130000"/>
                </a:schemeClr>
              </a:gs>
              <a:gs pos="100000">
                <a:schemeClr val="accent3">
                  <a:shade val="9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0000000000000002"/>
              <c:y val="0.148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3">
                  <a:tint val="90000"/>
                  <a:shade val="51000"/>
                  <a:satMod val="130000"/>
                </a:schemeClr>
              </a:gs>
              <a:gs pos="80000">
                <a:schemeClr val="accent3">
                  <a:tint val="90000"/>
                  <a:shade val="93000"/>
                  <a:satMod val="130000"/>
                </a:schemeClr>
              </a:gs>
              <a:gs pos="100000">
                <a:schemeClr val="accent3">
                  <a:tint val="9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2138888888888888"/>
              <c:y val="5.092592592592575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3">
                  <a:tint val="50000"/>
                  <a:shade val="51000"/>
                  <a:satMod val="130000"/>
                </a:schemeClr>
              </a:gs>
              <a:gs pos="80000">
                <a:schemeClr val="accent3">
                  <a:tint val="50000"/>
                  <a:shade val="93000"/>
                  <a:satMod val="130000"/>
                </a:schemeClr>
              </a:gs>
              <a:gs pos="100000">
                <a:schemeClr val="accent3">
                  <a:tint val="5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7222222222222211"/>
              <c:y val="-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3">
                  <a:tint val="70000"/>
                  <a:shade val="51000"/>
                  <a:satMod val="130000"/>
                </a:schemeClr>
              </a:gs>
              <a:gs pos="80000">
                <a:schemeClr val="accent3">
                  <a:tint val="70000"/>
                  <a:shade val="93000"/>
                  <a:satMod val="130000"/>
                </a:schemeClr>
              </a:gs>
              <a:gs pos="100000">
                <a:schemeClr val="accent3">
                  <a:tint val="7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0277777777777777"/>
              <c:y val="-7.4074074074074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3">
                  <a:tint val="90000"/>
                  <a:shade val="51000"/>
                  <a:satMod val="130000"/>
                </a:schemeClr>
              </a:gs>
              <a:gs pos="80000">
                <a:schemeClr val="accent3">
                  <a:tint val="90000"/>
                  <a:shade val="93000"/>
                  <a:satMod val="130000"/>
                </a:schemeClr>
              </a:gs>
              <a:gs pos="100000">
                <a:schemeClr val="accent3">
                  <a:tint val="9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2138888888888888"/>
              <c:y val="5.092592592592575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shade val="90000"/>
                  <a:shade val="51000"/>
                  <a:satMod val="130000"/>
                </a:schemeClr>
              </a:gs>
              <a:gs pos="80000">
                <a:schemeClr val="accent3">
                  <a:shade val="90000"/>
                  <a:shade val="93000"/>
                  <a:satMod val="130000"/>
                </a:schemeClr>
              </a:gs>
              <a:gs pos="100000">
                <a:schemeClr val="accent3">
                  <a:shade val="9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0000000000000002"/>
              <c:y val="0.148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3">
                  <a:shade val="70000"/>
                  <a:shade val="51000"/>
                  <a:satMod val="130000"/>
                </a:schemeClr>
              </a:gs>
              <a:gs pos="80000">
                <a:schemeClr val="accent3">
                  <a:shade val="70000"/>
                  <a:shade val="93000"/>
                  <a:satMod val="130000"/>
                </a:schemeClr>
              </a:gs>
              <a:gs pos="100000">
                <a:schemeClr val="accent3">
                  <a:shade val="7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1944444444444445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shade val="50000"/>
                  <a:shade val="51000"/>
                  <a:satMod val="130000"/>
                </a:schemeClr>
              </a:gs>
              <a:gs pos="80000">
                <a:schemeClr val="accent3">
                  <a:shade val="50000"/>
                  <a:shade val="93000"/>
                  <a:satMod val="130000"/>
                </a:schemeClr>
              </a:gs>
              <a:gs pos="100000">
                <a:schemeClr val="accent3">
                  <a:shade val="5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5277777777777779"/>
              <c:y val="-8.33333333333333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3">
                  <a:tint val="50000"/>
                  <a:shade val="51000"/>
                  <a:satMod val="130000"/>
                </a:schemeClr>
              </a:gs>
              <a:gs pos="80000">
                <a:schemeClr val="accent3">
                  <a:tint val="50000"/>
                  <a:shade val="93000"/>
                  <a:satMod val="130000"/>
                </a:schemeClr>
              </a:gs>
              <a:gs pos="100000">
                <a:schemeClr val="accent3">
                  <a:tint val="5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7222222222222211"/>
              <c:y val="-8.7962962962962965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3">
                  <a:tint val="70000"/>
                  <a:shade val="51000"/>
                  <a:satMod val="130000"/>
                </a:schemeClr>
              </a:gs>
              <a:gs pos="80000">
                <a:schemeClr val="accent3">
                  <a:tint val="70000"/>
                  <a:shade val="93000"/>
                  <a:satMod val="130000"/>
                </a:schemeClr>
              </a:gs>
              <a:gs pos="100000">
                <a:schemeClr val="accent3">
                  <a:tint val="7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0277777777777777"/>
              <c:y val="-7.407407407407407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3">
                  <a:tint val="90000"/>
                  <a:shade val="51000"/>
                  <a:satMod val="130000"/>
                </a:schemeClr>
              </a:gs>
              <a:gs pos="80000">
                <a:schemeClr val="accent3">
                  <a:tint val="90000"/>
                  <a:shade val="93000"/>
                  <a:satMod val="130000"/>
                </a:schemeClr>
              </a:gs>
              <a:gs pos="100000">
                <a:schemeClr val="accent3">
                  <a:tint val="9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2138888888888888"/>
              <c:y val="5.0925925925925757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3">
                  <a:shade val="90000"/>
                  <a:shade val="51000"/>
                  <a:satMod val="130000"/>
                </a:schemeClr>
              </a:gs>
              <a:gs pos="80000">
                <a:schemeClr val="accent3">
                  <a:shade val="90000"/>
                  <a:shade val="93000"/>
                  <a:satMod val="130000"/>
                </a:schemeClr>
              </a:gs>
              <a:gs pos="100000">
                <a:schemeClr val="accent3">
                  <a:shade val="9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0000000000000002"/>
              <c:y val="0.14814814814814814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3">
                  <a:shade val="70000"/>
                  <a:shade val="51000"/>
                  <a:satMod val="130000"/>
                </a:schemeClr>
              </a:gs>
              <a:gs pos="80000">
                <a:schemeClr val="accent3">
                  <a:shade val="70000"/>
                  <a:shade val="93000"/>
                  <a:satMod val="130000"/>
                </a:schemeClr>
              </a:gs>
              <a:gs pos="100000">
                <a:schemeClr val="accent3">
                  <a:shade val="7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1944444444444445"/>
              <c:y val="-2.7777777777777776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3">
                  <a:shade val="50000"/>
                  <a:shade val="51000"/>
                  <a:satMod val="130000"/>
                </a:schemeClr>
              </a:gs>
              <a:gs pos="80000">
                <a:schemeClr val="accent3">
                  <a:shade val="50000"/>
                  <a:shade val="93000"/>
                  <a:satMod val="130000"/>
                </a:schemeClr>
              </a:gs>
              <a:gs pos="100000">
                <a:schemeClr val="accent3">
                  <a:shade val="5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5277777777777779"/>
              <c:y val="-8.3333333333333356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8B2C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5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38-4BD6-8FCB-3F4266EC0E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tint val="7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7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38-4BD6-8FCB-3F4266EC0E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9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38-4BD6-8FCB-3F4266EC0E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3">
                      <a:shade val="9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9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38-4BD6-8FCB-3F4266EC0E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7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7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38-4BD6-8FCB-3F4266EC0E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3">
                      <a:shade val="5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5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38-4BD6-8FCB-3F4266EC0EE8}"/>
              </c:ext>
            </c:extLst>
          </c:dPt>
          <c:dLbls>
            <c:dLbl>
              <c:idx val="0"/>
              <c:layout>
                <c:manualLayout>
                  <c:x val="0.17222222222222211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8-4BD6-8FCB-3F4266EC0EE8}"/>
                </c:ext>
              </c:extLst>
            </c:dLbl>
            <c:dLbl>
              <c:idx val="1"/>
              <c:layout>
                <c:manualLayout>
                  <c:x val="0.10277777777777777"/>
                  <c:y val="-7.4074074074074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38-4BD6-8FCB-3F4266EC0EE8}"/>
                </c:ext>
              </c:extLst>
            </c:dLbl>
            <c:dLbl>
              <c:idx val="2"/>
              <c:layout>
                <c:manualLayout>
                  <c:x val="0.2138888888888888"/>
                  <c:y val="5.09259259259257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38-4BD6-8FCB-3F4266EC0EE8}"/>
                </c:ext>
              </c:extLst>
            </c:dLbl>
            <c:dLbl>
              <c:idx val="3"/>
              <c:layout>
                <c:manualLayout>
                  <c:x val="-0.10000000000000002"/>
                  <c:y val="0.148148148148148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38-4BD6-8FCB-3F4266EC0EE8}"/>
                </c:ext>
              </c:extLst>
            </c:dLbl>
            <c:dLbl>
              <c:idx val="4"/>
              <c:layout>
                <c:manualLayout>
                  <c:x val="-0.11944444444444445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38-4BD6-8FCB-3F4266EC0EE8}"/>
                </c:ext>
              </c:extLst>
            </c:dLbl>
            <c:dLbl>
              <c:idx val="5"/>
              <c:layout>
                <c:manualLayout>
                  <c:x val="-0.15277777777777779"/>
                  <c:y val="-8.33333333333333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38-4BD6-8FCB-3F4266EC0EE8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8B2C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table'!$D$4:$D$10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'Pivot table'!$E$4:$E$10</c:f>
              <c:numCache>
                <c:formatCode>General</c:formatCode>
                <c:ptCount val="6"/>
                <c:pt idx="0">
                  <c:v>36</c:v>
                </c:pt>
                <c:pt idx="1">
                  <c:v>14</c:v>
                </c:pt>
                <c:pt idx="2">
                  <c:v>75</c:v>
                </c:pt>
                <c:pt idx="3">
                  <c:v>16</c:v>
                </c:pt>
                <c:pt idx="4">
                  <c:v>23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38-4BD6-8FCB-3F4266EC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8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79089776389443"/>
          <c:y val="5.9884806065908409E-2"/>
          <c:w val="0.18235194427158113"/>
          <c:h val="0.8802303878681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8B2C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2BEE109D-56EF-4633-9808-6CDA383D32A8}">
          <cx:dataLabels>
            <cx:visibility seriesName="0" categoryName="0" value="1"/>
          </cx:dataLabels>
          <cx:dataId val="0"/>
          <cx:layoutPr>
            <cx:geography cultureLanguage="en-US" cultureRegion="TH" attribution="Powered by Bing">
              <cx:geoCache provider="{E9337A44-BEBE-4D9F-B70C-5C5E7DAFC167}">
                <cx:binary>3HvZct04lu2vOPx8qcQMsKKyIhrkOZolT7JsvzBkSSZBggRBApy+vrc8ZErKyqpb2dkRN68eZB+B
IEFsYO211sb5++3yt1t7fzO8WFrbjX+7XX5+WYXQ/+2nn8bb6r69GQ9aczu40X0JB7eu/cl9+WJu
73+6G25m05U/EYTZT7fVzRDul5f/+Dvcrbx3Z+72JhjXvY73w/rmfow2jP+i7Z82vbi5a02XmzEM
5jbgn1/q+y7ev3xx3wUT1ndrf//zyyeXvHzx0/Mb/eahLyyMK8Q76CsPKEdcMqbSbz/i5QvruvJ7
szqQUhIlmfrxyIubFrp9HcWLt+Em/MuxfB3Jzd3dcD+O8CZf/33W+cngn7XdutiFh6krYRZ/fnlh
yvvB3Lx8YUaXfWvK3MNLXBx+feufnk77P/7+7A8wD8/+8igyzyft3zX9NjBu6NyPWfqfBwaTA6wk
pyl+EhBMDyhSCFFGvgfsxyO/B+ZhFH84MI87Pw/M47a/VGDyextg0fxZO4YfcCIpEkh+DwBsjUc7
RhxgqRgWcMm3H/bj0d8C9HU0fzRATzo/C9CTtr9UgP7rc6z/bYD+F3fuf3U37efh347gKbr8K1AV
BwQriqn456AqDlJOMSyS31ki38fzRxfJs+7Plsmz1r/UQjm9uYvdnxgnjA6oIpwSTJ7sYXmgOKWE
cPR9i6dP9/C3cfzR+Dzt/Sw8Txv/YtEJo/lTw0MOuIBsR+R3KMXPoiQIko+AWD6P0tfx/PEwPen+
mzg9af2LBepPJSr4QKVM0ZTALnmUCNUBpwIwDv8AQfo8PH+cqJze/Nr3N4H5tekvFZWzm9KNP6bo
f84fBdAUkSKK2a8Y9ig69IBLyRBiP5qfEfyvo/mjW+dJ52fxedL2lwrQZRm7PzM+qVSKy/TH9nhK
I+kBowq2FCXfsQ8y1DcG+41GPgzmj4bncd9n0Xnc9NcKzvonai8F/I1jSP/PY8IFIypVkIeexGL9
w4rr8teuzyPxa8tfKhBvzHQ//Ik4xg4e1BQioHm//YCeeoRj4kAJxJCSP9qf7ZNvw/mjO+Vp72cR
etr4lwrSp5v2y82fqXjArUAgiBEiz8PDcIoZxT+S0DOO9n0gfzQ+z7o/C9Cz1v+nI/R7g3vsWjy5
5j/0+dIDAduHcvGDS/Mn20gePARIguP06y57DHG/WG+/P55/7vX90vHJ4P/Xvbzfdwt+0e35TbjZ
fXVRH1l9/7r1h0f4rOu/spa+zdfx3c8vscCCEEbRo8g93OhpKununuWSZ13vb8bw80sBuw02Vgqp
CDwGBm7Cyxfz/UMLe1C0EqIogPiRFK55+aJzQ6gerF7JYX+mShBYBZDGYKuOLj408QOlUg63Qwgj
uIDSX0zsV86upet+mZjvn190sX3lTBdGuPHLF/23qx4GK0kqU6EIUUykFKWw7qD99uYN+ORwMf4/
yciapWmaLIZgTwZaL0e0FPK+wlT5fINBcF3MU9PoRzP1Tx4LWeH5gxUiKUuxUkThVCJQHI8f3HGF
B0ybDMuppHvVevIFVUyYC1vXCp9XZtsS3Rbl8HoV3jRZV/oB74Jt6tdbycpSD6V4OySIXa8EuUr7
rlvfk1EZlTUzqm/WtAnkUDhczXnlpu6uSfy85aae2kIXI3YnS6LGkEfRpC4f1lkMOmDO43EwU3+q
wnveTIh4Xfu1CjpNh+QstGk36rKyuNwJ7rrrJKnwFzVva5HPhf3AZCkPKU2Y0+XKQqPxhLZCt2Xb
VnmFV2V1v244aDlvwmdqRmOXrcylWKtkE5ep913QwvV91DNMwPuCJssbUsV1yast2kF3dZ1sWTds
bs061c2dnqZBEZidmK9oxR+hx6TttjG9bas6c/3mj/pqxud9K5tTPxnmsmbC5nqNeH3FYi8/JFYt
n5tya2ZNSS3JXkzlYA55JPhQIhPXzHqvdkm1+EYXXTsdwxL0lU5Vz15txSBdHnjoFk3q0fYZioV9
O0oaQ57Sd7KPMN+jXxKu52RRre5ik6ijZDQVPZolWtyFTztv9LTiBO1jG7PFtE23a1NqNl32Jr6d
aR2607pzZZ9Rqup3Rgobdi2iW6unoq51WIaFaiu34axo1zVqKoVJc1tUTZ0ZxLsyo1Uv6Y5UoZgO
aUjZZ+NafJxIPBWZ6DbEdDkNEmv0Tjnp00xsrMmachSt9mtdFJnyqDWZCVNojnpaqGJv61DPucQt
+6igaDNqJ/gg9gVJ2vR0QHFez1afqCkjKz3GqUiPWNIUTtsupnS3bmmiIM64v4+Yf0k2PyKd4gaT
LChcSO15xc6rEZOgm1EWaTbz4lbUKbuZ1aquEoTLvENTsWrnOvPGsqk6HpfRNpdxge2ONTOTerss
q61hHDIZdb8t0R4/LtA8gZRb16+DKavvpbFfPv7jsr/v3obh/j6c3/RfCze/tj39CNj0He8f8PTJ
h98A/O9A+Lfq3O80/kf4TqCA9ksF7jf4/tY1Lvw+wj90/oHwCmqKOAWFCDIRKQ44/gPhMcMcrGMq
UgJQnkIm/47wUBwCSSmgZpQiKEAACv6C8BiDHYMe4FhKTBgi/xHCk4eBPcZ4uJGUPEUS0ggnVPBn
GC8T3qdVSXZpgma+Y3PTHZlyOeu7Yrl2dCtOjfDuppur5DYRpjuDt10/z5B8LqLAKhsqngJi2WbM
C9vgd8OI1UlhKn8kqpZ/EVuBJs24x5fS4phRGYoTMRT8tHTTejzDntivybR+TCKtdram5JN3nctJ
MV24idgsUW4q8jauRq9SqNOa+/UuCjSWmdua8o1BtFQnpSuqMud+LF4NxJWvUYWM2824skzLZZnr
DLBEnc7tmM75yPtk2PWOFGUWUK/cPk3KxujCi+Fkim5gGs8KRwDJBauzdN6K7iMVHa4z3yKf6DpF
zXXE0k2HJmzCZiVt0auCzMWSubZbugwN2CS5KUR4Pzoch5O1XOoxl3FTRtdDM71TDSRdPWAr3w41
kBtd2qK+stKyaq9GK++SYgup7roRx31CNvJ69aWZAXMIVzsq6FLtu2RZB628Wt8FWrh3NXFcnA5F
lDybSdshXdfFbC5K1shU19IU9yKO4R1T0z4xzaLVbOs3NjHEfl4r2bb5JDf0blqL7lImGwuZ60N4
Vy1lVwJm4nbnmnl55Ys2nDTLYnrdAQ6vu8Gx5LBr2Ha2zGN6PiVi2W3MT1lImvHS4a0Iu4qkwugm
qeK9SM1Izws0dF+muIxvqjRJ02xJTNEcTqmdmNLO29R3+4HzCd37BgKjEwUOyyGTRb/tlRSsdrsB
+3q52LZ+lWdjO+J6v5il6s8o6es2a3nTb7uRj2LYB9qq4dzTetjgHYBx6MK066LLpk4BJrHpPeR3
u+Eyq6rQuNO2UHGZ83Qz6Y7MnVvzalmK8dgNkY/H00xZ3PUrJ9uVQjPR3TT5d9yVHh93pkXXo5yp
uzGub0SWThX2ufKCv2FkxPek8lOryRDW88kjoZlFzdGcjrzTW9KwWRNbUq4XQZNG+2RB5Kxux+Vo
aUN3jgchj1c7yMNaxupwtsF/GGWUo45VtB+StWg+NGXaX85zaN6nja3EvrMJidnc1OJsLEJ1yZN+
irpZ/WiyVJLF5DUvjNMN7gXWXTWMsKaq5pgOJc1DUS1DpshoxiyxQeyWUdWrDuVajXlfBp6n1cqO
ltFJo5dqZG/ZIPAJtY7exWHeLo2pN7JLUrfc9rCW74Yi2BpeGg8Kpq0qzF5spLI6FNQBcWLNmnOY
3UyugJpAWzzyx1S24ridIj+ZJBal5k6ww4YV5oNxQ7OepDTaKZs4Gt8AYXKJpip0qVZtlVzO0jo4
+gBI/z31/KWT2hNx9sPc+qo8JGSX309nv6i7RzLnoce3HIbZwUO24Q8qgCoJxZofOYxAg4K/phhO
nqQpeG3/NzmMHUAl6MF/A4HxoFSh14+M/WT24ejN98+PVQqIr+c5DEp8jDMBORMjSLMPOuaRTpF2
JKyOhbZTbfrlcEVLbYGuOpQebxat6qKXZQfLczJNdR6DDCGnwQ7jcV0uqsmGXnQiW4gY3snYGVjX
zVzOl6njVakTbjwBeI4eqZM+4K5ONSOEWAc9GkRzPPYbKIwWJWbfEDnUR3JlNc96VDtxzrpxRhkI
s8TpwaDIdRuSFQMZBD2XTUsta70k2HVaUMwWPVrXBB3Hhp4zXiWftsQIrn2ckdWcy/WcjWn5qakN
rTPaknXKOtH2cL+WFbOG9G2sblQpe2CToWo1a+Z2y+qC1Cajc50O+SqW4HVVyznoAIma7ukknNgJ
ZHqXJb4R6xHrmP2QyoZcsIo5UFalLS8HSEg3FVb8gyuDuusLkg7ZuPJoNGDG1Og1Riw+FAQeeV1i
H7iu2by05yuxaXsCQtFOuoO0K/PIEVPHzHare0u3WoR867eZ7Bq5pWMme6m2HQJwqHTNo3rv3Ejx
W+6quJ3zeohnqSjUAjFMbN9pM8btxPrCj5fjWCB7TOqogu4FaU4JJMqg3TgvH7oSMH3vU1XNo56W
rnjvqnpi+zlNqvZoLKqB6lL4mu68Gf3nYe0c1ptX8rYSXVFliKzs/dzy8BGZkPAdtk04jMr3Pqv6
Tt2OhXNDXs9mHg+HreFzhnDrmO4Ub5FWqhyAvPBk1ljEle+HWsg1a5gZrUarmCRon5bKbMEwrEPI
WsukBx/Ho+CS5K6aEjPrZTbmFBdj9SYJZvyCGbsKpuwbDToAkcwG1ffa1sq8jTOQfpigxu+txQvN
km0YEg1QS6+JWxqsG4baVcuV8zeRTTXRUx1RmZnKbr2erEgTDYxmJKCe2uXD0kF9N1t87G5JSAxk
BBpwqzfBt9feCg5jw9i0e0Kd6kDCTFuT0RQN9xVpi9tiboFRUIY/G7TVdj+Wbpl1lL6bcjEVvIHf
Zv4EfgdIahQRGQ4LVMRemzWlTsel224YENXLifJYau+HZdPN5FTIEXBJQPrKu01XxNTuhISBjtog
4kxW8pHOGhXzijQxG94+2KYsbtsZM3nYt450p1zFsoel2/bj264krMpBTBlQnIE0r3DNyZti7Zsz
nGyhyKuhQXfeT2Tbl0YsrR6nWn2oeSleBxHSD05KC6q7x9IcO0uDO65m215661CjW0sKBltO1n2W
BlXek3FFkMwGrxA0zhvJRuByrebUzWVWLIu9mquySgHKQOBf1c6WH2P9EJ/U1obpNWCFcrHOAH2L
sQRrKxZndQX2DIAULv15qur2ChF42q6Q9fp+W2daXU7tOAhYhyI2b4aFDUVOUSKavFBbecSAoMyH
oFd42JWDWOyO1/OwZtE7VuY0sS1sKGBkSHeGWaPToi1H3USZEp2kkfY56zBwyX6qK7QHL6mKunTN
w9ulJnE5GCCTh/edzPmYEMq0wyIFN2RTfZGrgRZiv8pk+pgg6T62zBOwO2agLDrxpJzzsBi6aRvV
WsPvMixayFFc2rGbP48qDKf9Um5WlykHt6RZ+6XPR8HoG1iwC96tRWtTXTJWzTuzemFzw1OC8h42
XKcp3cKcFSxScF6EquedlH1fXRYVqo6HJjab3ogE0eHbKeil2OK+Ix4w2TMIgVpt0oKf48f2vNhE
505Da+uvBkEZdwxyELCujdftXgGDTneiaLtPRnlYFBEkV5cFn8o3YwHMX/NeVCK3AfIdLOvFfDQG
zJZsGDuk8hS22jvGRBj1BqzppGgJHndNqXidlawvggY0RUhDzoiDXj0oBh2SNpSwSW3ic1s6A3ZE
Tdr3ZqyKLpcBcaw9/FoztKD+PTEuTbIhNrD4JoO6KrNdyz9WoWrKzLrC5IOot2rncV/1GkOB+m5J
DfIacn39UfFCoO6YzSOf5/eFaGFDa1EN+G4ObXcRt800muBNHvOxaafDwpDmS70Qe8EXwa9IYraP
NpLhtkoAC7PVOXGHx5gUenUIvV9cna6ajoP7wkpeHS6bdKcWb9sng0k8Twvsna4KR1Pd+3pwufcW
PELjHX6zhg1fC16XlW6la1I9Q+8Phaez02DDbm8ak2xfmiRMJ1gCDGSDYQFodr3FrJpkeslIa1Zd
g/3K9TQQcLqQBwdRh2rCxzxKWDNxbsAW2mDTgKaM80Rho0ziXVMmCDyjoZDgwRUs+D2ryz7mbBlm
MKp4g84r66vbcUkapRffU5Zxa1f1uqQbttlowO29GOGsc5klpZrXRi81CDBwcprJ0JsmRaGCjlvA
8XQmZbu82raWL70mYo7qrEzx1JyJMplqyCwLiNp3wprQ5LOqGayBRi7FEdhvA5p1WrYIH68Jt+j1
sHqFM8kG2+ZIirTLG0H7c+W8sqddqECbya3Gt1KV83yH17X0Z84WNskBgcHeW2waTb7OTUEfeq5b
ZteKfi5tUs8ZRWs7FgBFrAi5j6Yo8m0JqDge4xqra7GFhO3GZOzqd2GdwBgAlYzqo8LMJchJASiP
QeitMDFpICuEfRun4lNkbKQ7NHcpO3LRKen0vxOWq6gTcICnlLMwa65aBsrfhGL9EtIFNRePdaRp
SjeAgAXxeFylDd747rte3FCH7L6a+yhPQVvSMmNb6cozMjFbfnZDMqR5FRYEYap5GzLDChgoeLjF
fLQUkdFFt0tJ2V1cQrQnZTOtzasH+2bLBqDToLJHH9BJ0a+Tz9AKa/fI+sSLvUdbYzNYpo5mdBMG
vx/RRsxh6SVQYVjIfLlSU92B5uJ8NmBcE+/lx3TG+MNSJAs5bFUsvqCoqAApX4sVUKJZCZjsCNWa
bLCY8zC1MeyVn2Q46iwIr2OY8yZmK5pAHYqh9uGyBuCxp1VN4n0CNPpcLYX8JLsVyT1Wa2P2eBhH
ckjVlK67uTMdyTaJiy0D66Lk+bZJ8OjZNrmLXo0J+KARoz4Dm6gsz8AFNzaTCcWrVkC1Fz300n8G
TDBxz6dRwVLHyDDwY+ZJXQYZYZtjZanbMaAdHthaBEkrC+LjTgiFvniKGmDwqemAfzebpzsRiSfa
dVVT5ALLxQIHmYI9BILABjBdF9hvRcoB9XrIm1csNSn8lzL/zjFg0/u4ysCzYZ7ZmLUFXsSul6Z+
0w9r9aUjom4yO4nY6nRh62noi9ZrcMx4yF0nWandMEYHjriYwRxKW6FOcFXCFA8SVdcJ7mWfRVE2
KAt0AI+j4xGMq8k3qHpF41DG4447swC9XaM7ZbP1tV6rYnXZNid1d5TOrpdZ09VQAphibLpzvwyi
0s4qT06h1rE+mFlDUu2mKCeT1Q7PSZ4giIKWlWjAIHSbqrIGbmZzFH1VZIENzajrfu1iVs7jKvO5
ruZVI/Dabqdks8Cix8rdg1lv050vOl9/7m3P1iH3ZQLiYh1Nv+WbwKPbMu/kpMAnLIMYGu2mEBev
Ny57PO1BdqTc5pKDB1bobqFJsVtXGkjWNJ2UlwowvzjZulAPF3Jol/pa8nmJBZREaI37bADyz94B
9awpEIShb8OW/efOwPmPr5c89ba/Ctxfje+/qClOQVr/vovw+DTfIyPhe70Uun6zE9IDKr462AiB
dwDW8y9FTwl2Age6lzImQe8C2PxqJ4DVgBiUNtOH43DgWf9a9ITTv5xRylMJx3qgjcj/xE6AGupz
O0GAIyEIpfLhWBfjYL4/thOGBHT9xOmhq7cRVCaMs9NomOUH1dbutBBLNRybsus/CCsXkpdlAXU8
6fFNlVRo1Ngg9CWoTQyH6zaeemkfJKiv/UUtaRiPYkHTi80EUWbpMtnrZZwWfgzqZKmyMA9Xm6sL
gDnemuuyTEz9Nh1pvWVNXQEqxwnQU2CXHNoWxBcUIFF6GoILR4GOpsmnegbzNW3jpIGOji5nZTIc
puOqIBfxqTiX0vQ2W/ukObQlvJB2aFwucGV6wLgRZ9Ys8wlxMAadLFN8JdkDEDBTtpMuIb1cjLXq
XqNmtXnFe3ZT9rX4UtWjv2+6zYa9LxR7PVq0pDrBccqWkSRRW5yI1yPUvvC+Y7w78nytGm3DSnbW
LuyO+gULXRoPjwUd3FxFMKmjRp1fzqbV2p2rwfeFIjm75cqK6xSYqNcc/NQz1yB4WS4NgKJFAGYo
xPlwMusnQFq0nE4gxddcoqZ4TWUB+jtuHGrKNZuuRSKKjxbIWIbrBuf9oPovth68dg3poDhh68sN
DepSlUX7ioByPNrEmoIb42rtqwnIXzJN7LIkk9hXU2hfb43nR1420yWoLYh63OR4A8dqaijctqa5
ajrVXItyXK7SKVWHGxv5HW3CfDF1Jd8zbkALTFMo74sVqsV5XEpyZbntC+1SS9lhD1vmSqyLuqo7
uXyA/FGfjSUFzSkEjmm2zgWvjjvfVrtyttMpCDwoR7raxpNUegQ0XjX+hgxzdc59UR/1pegv2zhg
B2qm7qgmYDFdh65RWaVW+hqIbPq5gcoR23d9Rz5N1dTckWiSz+lcyS9K1OsR6Eex4xuzUKef8HXf
KHw5Q3HypI1uvZjHxX2c+VKebvNms2Wi5XlY6tplCKLBssRQteMghB8IrpuvoUQimfYB49eQj6Hq
LLrAPo0hIWDOlEM8TEjXvRdQPHuPY/C7qkc0U7Vo7uNqp52qef1qFqLMlWrmdxIH9WbqR3rFyjDU
OVTkMwLFuNO0SPsbSoK7NEmKUl2UQG40G8Dm1lByc9dAlYrdlLxm/Rou1jKhWonWnUzbwC6rdFFH
ZEm2Yy/xfBuZlMez6JvzcZTLPu1ROmWitvKiBrmkq4rSj9M4+QtwEASCvAg+y65DrLtx7VofNaAr
p31PkgJB3qbre1BZbF8VU5cXTeWuwfOcvwz1mF4T1FINOYwf0yjtli2QwcadT4QI2tLNvMK2ri4J
Sobzti7ZPtR9C24g6ptjQUO8rv2w7is0o+nQLbHMZ9HY8zWq/hUcyvP76NLmXdhM+7GzU2u0M7Z7
O6vG9KeFXWSbuaSWbycFFbAKapryqJSSgtlRzmA8lAG/r6Tzp6SDnQSGcQkHAcR0OLvG7kC5r6Bc
DEmORTEhBlb9SlZNYFovcJG2Yzb33s0ZbrF9b5Zk3Y4ML9pvx0r+f7Dtn5x3e2Lbf8udD/Xf30+7
r+BboPc38enZu0fHjR56fzfy0YGg4LmnjPAUXA8OFv+3YjQc8ucMDhmAeQ55VHDxyMh/+HLNQyka
KgBKYfrwFdLvx40UZHLw7SCPQ/0YCcL/k8SLJeT9x7VoAkuXCwV1HZrSh6r3Q636kY8fkrmXY5vs
5fLVS3woaemuKSuqDWs8HNPgqZenE8d8DJmYffPagF3fn3RiHe7S3nlzKQK4X3knZqVl2rHdAq5G
vwdk91+Axa5XchvTNudsWy8jqq3Tqoa0peHMjLqOqouX01C+rVgACweQ6LYoQEbtpgbhT0ntu1cB
KgCnLau623os8Os++vFu6GQc951AlcoQ2JbkYn44qNJgRuKuBvAvwMsGdD1eS5y0h74ZkDui4EuT
Qy9nP+ttrW13THgLyCfgUBM/6UFpfVoU9kWOBzptF6yH4xvFEBg94h6RN9Uo7Q1bArti4CJ9UBiK
oNrMFWg1vqp5AP+T+WRnNhevQo+3E1fgkkBb4UH7JRJqEq6DKglYui1oHwrVwBmqpE6Zi6KSUA0h
aweyaU2ArR9Xa3rCW/ApQQOUcHCpaFhg4FsKFk8xaraQl9VoIzhNVWretY0prgWYiDv4XvZwBaps
TMBxm5N7VeD0aCwR2CplkfQ+94XZBIg79wUsJbCxBzjdVAE3UeqIc1uDIWnH6qrEGyhDYbtwSFvf
t9lG4tpdeJX0OxvbNn1dL0v1dmtaeVXgLfkkfRXell1duQwKD0Aj1o3DIbVEVsHqhAzxiG3zmEXA
+cuHr/9dJnSAEkTfglepZx7bITMcA2GiBvtsFsSfjL6DaixqO6hdVj7dXqMC5OnFXBO5o5GRs66Q
vcjL4r/JO7fluG0uC7/KvABSPIAEeTk89EHdOsuS7BuWZNkACRIEQfD49LMox46TTFKVmbmZ/79I
Ko7Usrqb3Nh77W+tXsIb0IPzlIZL7+NCi6V5NZDKD63QY3FeTEj888DC4nIt3MpPiwYyWYJmR9EM
yBQ5SyC4LMFxYm0i4m7atp21i35xnPLacfRZDmV5jbfBHzJR1kJBSrAu5N4mglJqYl5J8BhCfpQg
ynI6+kZBIanFl6k2zg5aZ5EzLwRJgJNseOFDVVx3hvKDWguey44vTsrqZvhY98Xo5hBCiJt7tVfe
FdgM9kdCjJXnTqIhDeIibFNcnSy6/udj1P+3AWnD1qGY/12d/oNj87cJ6cdjv1VpWPmxGwniCAAm
yCFQQt+rdIjy7QOMxKCDXQgWgqjfvyJD4Ocd9537jEI3YB6GoO9VOviFwcaK6hq7ngODF/1nVfoP
21bY1TfTdMQYJi2PBe/b2J+qdFXPjRhMkDb1IehLqBgx5WNGAtt9CVXN98XixB+62soLb5jIzSpw
T8d+dauUWBKtwwc6u2gvoLiJlAqINiAG/WTS2A8m1Wo+cMCaaSc6c1FXS4vFLOA5jDgDNoz+gH0i
RJJR7Nehca4EcaL7dmzbHYGo6CYaFMs1scFXKNnilVWO/Kigi6Z1I70TSiQ7+jVZD4XrVnkfd31e
1hPq4bSSHCcezgk0aLlgo3fQ2H7mvtOOGhAefr1ZRc4rF1j+TmXwysd+/UJhtN9B+g4f3LkFQLUV
NtCVzny2VeiclpjzoxPM/g6gUH8eCzCPNoirdIidLu2knHOs8/g9XZY294NZicTIsMeCqI3zVmn3
4Pck/uA0lD6bSoOJCsYBezdjMRbFTCRRK0C6loHqr7kbD9cllnvXUqv2XgEj+gyp59pGEcXTc+qD
1CbGArx3UsBPmJFG2fOEGSwiuyag56GkwY5XGn+coBbVk/GOojHNMw+9IocGU2SxnYNdE8/mPDkd
TaZoatOwkEom4EvHYxSM7BDRJrgwYeM/VlFIT56/9B8AgdAXoQZsWjvp78NiEp9niKxB4lahuABz
KbJuFctJtKGeEibb9dKPClkkAQmwA4xaVCCIsF3uNBNTWQ9YZd9KDRERA8SFErVYLieMXycMX+Gz
Ybx7DWdjcqN3nKDKorlcbe6OVuRDhV5Yl2VzHJULTGwc+L1dDJFZBGsxICex2uuoW/VOrCI6DFNX
ZUHZBvm8EP6hLLFMkECAcAWuwVNMpvJgl6nNMGc6B/Bgw7XbMZzqdrYnVtfmDUMCuVgDPrzVeulV
wmw370I1BAeDc+ducQXZt4X07py2tgfDZHdh5hjiFIHWl0KSjct/gyYY+QyoN39bWlMkuvT/8W7k
+XMb/OPx3+UnyqiPMkYjtMFw5n2vrnCLUxDnMW5Zj6LQst+Qe1RX9MsYW3DDOHCUb0T6rz0w2JgI
FRGgvuOhILph9I/Ka7Cx7T9B92A7PS+A23b7ibhuNrj/5ybYmbD0poXMZsVUlVUdbuOhDWbzv8RE
sLRfHVy4bJ3/DzARkDEQosPS/J+hIl4EshMbT4gG6V8BI74BUnbkJUjGfeRO002s6hLcZ993OqvK
kKFydW4kbmjTKZ0UDIfstV4ro/emiUJga5iLp0xWs3gs46nvsoKTPkiCKRqmPPZVHFzEk+M1+wIW
AzSaC0AfKFjUdXEKkTXz+Pb3YTnUizTstOWQ6aSl6Qosuk4jJpxX3xui44h1KU8oc+ciszVG6hxG
juItKrTFJjT2yRk7P8j9Y2eqChOBpXdusPa3FfYEGpSkHNzUztLDgqZXK9QJrrD7pMXb1FFW505R
NyUW7Nxv05LV/pAwRZZqH0mNVW8VTmGwHxuFH9X2df9olW4/AgkAtAKLyNjlXBM+ZzyetiEc2mK3
mwSKIArlbDjcDAFWzQH6kA9h1GBBb/3BWXPA6t0lWzCZgRRfOY5hrxywKhMFAzjaeOFD56+d2Xld
LUhWU9UJcIOkMHtf1NWlxwpbHVQ4lGNSDuhh046O8EIMQD1vmPY6N8Fx28TpGkCIwO5wWscUy6Dx
wl+scTNv0HWfBi3E/cTgbPP3zmjAGgcx3vLc+p5vj1VZV8OxXtoqSoK60bBE9ALErWpD0Ia2qrzT
6HA4Ar7xWLwspjAZtOme//X7119dTfRvBf7/Ji3qJ51he+z3Eos6GWJhziAPoGPditg3nYFt9PoW
x0EjBOtsyN6PDjb6BfoCxH+UXzwiBpXwo8aGv1Cg8rBYgxb0gmCD6P8BMOj5f2phUcWhEdKYOhRK
//aL/1xjgTpJQxsnd4uhzcHwVJdjWWqbNqMpTwAlgKxQr/4EwEwBebFD1OaE+8Tfxay3ANSIjz39
Wvdd6tq40WchQNJYrvqnGSVdZbXSvH9gfRC/OKppppTFpNou8LkqjtNQRyJRPhZmu6khbXWwsCwN
SaVKZ7zQ2OlzjKkTGpSsGYN1SJSR9fAAFbf1v/rzNACUb4c+h0I7HGzh+MFpsZ3MGYlRFnXflIfR
hOrI4po/i7phzsVCKYpB1RWTd8T+pVjPdCwFikotg17suKHxsY7Cet73ZBRe7rsVd3Pe0mmjBsNl
vETWGuvSmGKRinGymLGqhNLvpKOc+/pTZOOSAToYyHRjm7KKrpTDRbvvxhF6dFPX9YFzh6h9Ab1j
3nEhA6xXVQnyC5JI7x9hi5L3UGa2kR6dqZ9Wsitx5FWgzjO5CPpYBjxIu1579fOknKnOulh06VIC
vcmjWrt3vMAzyw3kV6j9k2Uetpcry2sdaQcbVW98wma9OzbhhvkVGu4lG3xZIr8Z86JqXJZUUSD9
PCIBGOwK0ouXaCLKe1vG5Ks/GggatXBG+KCKEHUPJQjvPl2c25JINeax9Vf/euz74OBtAEccyO7o
Yol+49Fi3YUQ3g10J+yuU98dyU62PD43MyVLBvawKneL4rBB2AaVeYBN566vm/lx6IlzZ4CxvFqv
KN/g4othAxItfQTCw3w0p864K6u6AOdcVBcwwsOQZRazcys3fMWEU58LBYUm5Z4LH5rQc1dBAZdi
D4nqFvpre+ADznIp+IfAYFkQuzjUMJ/VuQElcyc6t/jqxp0P8tx9mjr7WTod5j7XiEc1NSJtbajz
ycDGBLixPTq9obvWse6xasWLnF0vKZyFHFbjXTmqbm5iWi0gTpbPcRXW99tfG0v2WXP3Umpc8FUc
Ozujh/JMGvFWmOBz19QfQH/JI8aKNYvKdW+0K+AtqNv4NpgquDIqu/JTvXpLt9fzOn/C1g6HTl80
Te6snXdjx6g4AmmYnmCHgzTfVLCOFcxeBy6vzpKH9UH10SXQvcAk46aNeJi+4iUacwXsaE+9BWwd
qzvzVIGq42CZ+nFjEoa0DLmTVRGdsTwieBlr8aHRFcn8zsUdHa9S3k499K85UCg0K59S0YPt47FY
M9L4/FyjDUhlNPfXgzBPDfqOxGgP8y+YHswZYUSeYz7BX+UFl/4UL7s+muZUrV37CMi33oHX3fF6
KfT/YJP9/02C+fUIC/7WmPufcnr5j+Nr2/x5Tvjp8d+OMcjbaO2Azm5mVEgoGxH//RijW7uPYwyu
zyj6eVRArBwUvq17D0IX3/LzpEC3jhNuMOyxt7TGf3SKbVvy3w8KMOZuOhCOU9fDb4Bp5edDjJB1
GDQFXI6siwnt2UqGvNAtDRPcBUV0PxaQsK9dXwPxHkc30gfZzf0JNOxwxsZ5/fyNXFfSd679yGBp
ZXtCTlG7WJ3P6GXvQU+K6ji891aBw/wv9bjOWHC/N179exOmm2I+xG0xX/vvDRp9b9aIWceLRvjL
mDrv7Rx3uuILDSb/Nnpv9QYRRjfmvQEU783gxLGZSDoWzCdsMn1Qj1IyC0wUeEcSUqxYD/DltLBP
UhcUZm3MYzGg+0/7gkchZHM1vrKmMnPaCzO3CTpBdVU7rvYThy8jjGoNaJoE6G7RgDorXUDTcL8K
4U6nAApDD9fJomHOYlRPoF9ca1JLgKIlQ9tRJ2GNA28x41CTo6msgU/yge8x1XOS6pBDlYJlv48y
W6rpkgXa8bBT6FonjcZeBcnggknLoG7PoNmi+qZfXEdsTe74lRZO//Vfv//chnQU97/TTzGd/hYJ
9Zt6+uOR327ab2YVWOaxkwI+DA/895t2s05i3PfhOkHsJvX833pPGC4Z6AEYUhg25a7/s+HS+QUF
ALQnmJUAXw3/SesJPvf3dy2c/CE63xDbLXwtjOkfdlyuX3I/NuHRguBXaR1I9+OgAMgnYHvNFbgL
wdKmK1dyMTnE7oba9dOWycgAOqUKbmEsxTZPMuZTNALxWh9ptLI5I2xEf8pLEVzNOAlTov2bgU7N
I1TECSB0AZ/HqvsoBZSmH2Rb95fu0vMiEZb4txo2aALDI3DG67kOzf049WV9URsyr5dro7FaiMFy
nWC/I2BEFoATnxd4znfhsJJD2WnWniPQL3cTDCURduVioDekW4w6CD05We1XATtiXuz3E2mHvMeC
zs3bTmjc3UUYPg3WJzrlLpd3TiQVvjVecRISej0XYaTSsI89nge0tHvrme4qaCM3g+idGNyIuUe7
fSWi6uTEXVaWBE6SPiwSbCm8O7mOLB1Xeu3Uus091+W7jQI+lpP0E9+uWQ8rXVqVXKbUxdLFFnE2
qB53uAX3Q1A2BYIWzsDW63OnyQfq1PsmKGF+DNzLHpaXXc3JEUu5IofenHkeaLg2WsQhCvomFQ0w
5BLw0lEBOM7Bl4JRhFbgj+oYR/NLNJCLXkzgSfSSGTs9VhieTl4ZQe3s2ryT6nr0upM7QqaIyLgX
bX0cSWSyvl+brOlp5i+gjUtZzs+asOW6FGY8NiwSTwFwyyIr/Dr49A6wu2Ut34Dsla+da8nOjgts
osM6ngZj+F1FAnEb1UHJ0xVJfuTEgXguZ4B6MEGJABRRohj8v4Q1c6IVaZr0Z6TdKICwu0KF5lh7
yrI/I+3AkdTeEar5RBwI7PE2/BuMAxgwbLAP7NRXSbl5CUlV2menlPKDV8n6VBENo6KctD3jWdU3
4ywJkEK0pxoM9yLbdIGst1uG2IMm7nA4LWYgNU0iw6q5NE3JnaRzHRCME+zPHM1/GybdCjo46aJQ
ZUvhGpBcHjASI+YD9ozkyzCY4Q4H15AWvNRnXfgIEMB+bTxgdwsVggdDVguLVwIpDX469D2uQdt6
JzW56g4Gx+Hs6AYSC9VV5rStPBSQju4LUtVlRkhJrqTQ/YOv2hqu5XJOo4BHh5Y3xv8Vrw8cc7/O
a3ma57W/wUUUnNawmkCjLiTxcNYnfT+y3FkkxpI5FDsn8Psv/rDAO1DP8XPV1PStonQwl9Z4komd
29N+hLNnBrj74Ezh2MPCQJbwFMZRt7NlBzeBn1NVQkeaZ3mxjOhMjZbxc4HsgNSva5ZCuazSuIFh
Ah2Tj00oaCIAsDu/fSgbS0+du9S7WnrmmjftssOw8Wq69b6c7IWplr3HbV6VQ9Z4/ZVjDOZebFfm
prwikqlDY/ogXzkz6Qpb2pWmbLgsyhqNcm3v8c6vd3C/yrTzagNUFSubAZEMX5To4wtNeXUIiuWB
bmytK4oO974Y3kKlphsphu4Cg30+RepKTQN9ACQnvjp8XL5Mc80y7F44zCkOGKVF8FtYWTXqAfMw
OpHlxQOwUGO3XXSHbrIVTOpKw3ZUAlzulH9E+TSnVWHQiVDUdsDq0cIPbe89rDAzpIRFeo/Ft9gt
hoZnt4yCD3xe9SVsdjFSHqbgCVRctwvowxQDmeI3wgUkDkMyy+OhviG1Z68ZWhX8ECHOHo/hG5gc
iJiB39yG9RhcYdYlty30sUOLtybl9Vgcwlbya5xpkNmgHYyphEyTwCfMn0wcmcO4kjEDlU1v6aIm
sGtwNrQroAh4vtz1vhpdmXfYrOz9MQbRaLE1/lBq7aZmXuJdh8tsT6eK74aVwyfccHLhmXm+8JVF
ZovkGVctLE5M5GIKGxQ9CsJOSHJBIxteuyFp90RhcMY2JBHu/DZUoAomUR56We1hrr6uav6AQfiS
FON4WgevOUelWPel23bQRbHo4zNkC4BWOi1kVOWM2mHHiDOjg9Q6h1sDNzpZAXMx+C8P3oK1WyTG
JesCyfOBV49QC+KUVT37wBZ9QQPcxLFaMgu9sk0mvl2KgcdNptZQ7zDCNRJnLgEfqcaKnRpjwgKN
tzMXV+XkNixrA16YpJ+WkWS4xNzXgM3NEZKOjI+lKILy0e3ouh8K2CbSseNjHgyDD4EkkCmQzf5M
hRcdnXFZz2MwT+3DzAhkYxGbGlwkjNZe5vZLHCcO8GfQDbBlvjVuYW9DOL/uBssty5R1uiadoAZU
iZQWIIAc9DgdVihVfRZWg/8SVVF0CeKjTqgN2BeY77hI1wr3whW8sThbYhmCwPD6bk1j+OiOg47B
pQWdVi6aExAdqBmkwJaqxw6Q+kiOSJBfswaJdmUAEr5qALth/jG7ul8aufNaXAcHt6j4S8tm9Oik
jF0oOkPcwiJTWnjRoug0ew7iT6D+lYlfzrDNuGV/45r1jUh534lwRLTLQsWrM7aBBbkO9n6P6ym6
qyEzHUC4bxxCuepsmZmBuZ86Su7i0MIn0FRgJmbN6wzkOs0mHbKHYu6b4NRa1r4UELPgDMZ2GZCq
rq/mAMveNah5ojxfFYkDlAJJEAoaXlFDqvMmuhwcbskTWkZ5IOAgHyfK+idvLdXNqKAfimqdc2/F
SGQn3z46i2OBxzs0s2wK7b5sYAoIlt5/q2wvj0sb4BjG93xwQAJezFrh4gSf9Brz+UBghtzp1oLK
+zfYA36XqNG2/zUMl7wsX+r+5S+n+/cPQHj5lr2F6HegZvgHMzQm6R8idfCLv+3tMcPDpI6G/afs
re1LcQh4DtnxULFDB1P3j0Ug/tf/2NUOleH3k4IPfcEF6x5G1HdcQO142j/P9z9c7Y7T6ejM1hrb
mog0Q58tfa/CvIgj0Amj55blYR0W++DD90ISGN7pmrhNUC07rpA+BCfF9ARbl/5qCsQk1D0Z9hGc
U0Hqwu582biLK/e2qwMvKbFDg61ybDQ+vwFzF7JKxmHNaTU2e8AcMrjT4dqitGKB7+QVY8MHOnYW
dBKkqQTmITd8nmZkXSRouFaTr76zflZx2J672g1t6pKoObBuhken9IF1p7P0RYMWdtFrUmoav3B3
iMB5LOXYpFgsTW2+2pbv8Jd0HwiO1QnLHPMcE2TRJAC2PBwg1aIfGAyYJCmLeYWmzYupv4A46QOL
jWLxMuEogyLgdONbg0iOKgk9C4WhdKrxue5j81lZP56zWbTevSwjWC4H2YOTgudgxC5exeibvKiA
k5jKOP4qpGmuWBX6iPKYr0UNjST3ICp6sM1Zb0oKdFYCkJzvP4otIgSN4xoDlzKc5+uCCJQPHHJL
lS+uGcHLDjHvz0oE0Q6tUuQ/m1Y3KPZArb084FOZ975xyMsKp99nvBuYDBY6l/YwUvJRcnRRS422
IJlcON/OVs4i+9cXE75Xir9lBn73OQu/yQk/PfaboBD+wkIAA1hiYdtLXUyI3wUF+gv0AoCv+MyY
EDCBv+mDP3CsTZUDSwBf/LbL32Kffq0TwS+Oi2+F8SWEGrGF/v0TRQE7sj/ViQ1XwM8Btxehom11
5Ccey4eJtqcdslx6t7nytyvUQwmYsJ+dLDwbpZ6QrvJ+QUtkLMAWvF3nZnWLOZPb1Q9odHwO3m+J
+v32gO9zfGtVgJtGIyTmZXy/lTT6p/6ier/F/L4mgDq3O89KRMgkxfsNubr2eZURbtIVqVEfFB04
NmbvN3EX4obGcYabG77n4qUEIermpSrsmXuEsbTQLjwAs4nh4gQYKc/tSOHgFoZrtYdxsrgkMLAD
G0Pqj9hcJWuUu4uEl3UJ/GhIoNPClLfi3T1KPRKM2iRyLrA0C72saUZsjfsB7TF256VQ6TSiDdkX
wSrN3iL87zYA5Ax/dK8QcefxasbLBHHv2ZvAnUDwRF7NbvHazc2thh6iBMIwYCUgVn/hCxtNim37
hJe8WMBMEpwamRuoGeRUV37swaJAlrRFGcPN0AwHBw7QGQIi8iEwHEqY0boQ7skcnkZ/zSMONCFV
EmZ84K01zDN9sDx3AeTeI2A2gm3jINmWG+QqsdftQnRGFgufLmVrAkpOfwXZULbZOlX43YHEdf6V
5dBL4HAWOu0r5RzZVluf8dtMd7301s+oX/5p5h2yQsahVx9577mXXmf6NV2tAULqEzE+dCBfq2Tk
cXivtxqWe55mHx0R2yMfwHuJGWPlHgcXe6sK57UFpoCUptCfMl+Grs46eIQ7UBU+AzhBbPeqyrjG
XjKsgsuaUYksD6TNfFqA0bJTD19OedUjk+irDIbe3yGuMFaHsGebnTGOgUhIpYv7Olo9bBpLElmk
kQl8Ea4/KFohaxCUIGl7/OYOXNoVrW0QKAbP4jpXOCknF3MxrbDAA75mOpVKx8KKyt+rdrwV8Pi9
lkfvdd19r/H8vd67qPzhdgT829TaAGXnr7uy/3wt/7ol2x76rdQivRYfUbXl1yIznWFZ8qPUsl/c
bVePL8E7+L6P+anU4gsu6im6OLCp6Mx+lFpkTntoniDs4gdSxKn+o1KL+/L3pRblHH0Y/BHQ8mEy
gPPvD6W2haoAV0EawfpydJrooUSUJGSTUuVuZ0QWDUF847UEtrdF2kMYNixvXCSxQH5CDuVgh5SE
Xb+PC8hNgV7NbWmYStRCsFxY6ZBoxnjShOpQVWO5G7RcAGSWu8a3dt9pcWV89Vxic59wsBVZQSw6
rZV9DvCqHexQ7mkDMAhhKM5xBlZ4uVgJRcI2d5RU3m3r9Ce1dPSIzXd1CVTIAfIJkFTS/uCMfDdN
9QkYESRQwhK6PQtn5Z+0ZBdLecFYJU7oTQ4tjJvnhlQZuqO3vl8gNNbVrveaMJGlp9CiQqoKCif1
yo3ytRx5bY7Zje74cZ3MAfa6vekdnYSdQYafXt+KivAsbujFIiHVKeI3eYOUj6ehdpqPUizRR6CZ
fE9ZzPcrDP6Ifih3ftCB2K+n8lJQJIFuTzTEAh56nGPyOh6RPBLQ2yXy2p2jqrcxNk8xl9NhiPvb
GPvlJCp4kSFD4jAgQDCn8Yqt7Po5WEi+QvLE/EzfIk8+zmbpvpRkwQCqhLcjdrmF06rb1+iX0Uci
4sFV9M3x5uqW6QDkhGJxhgV1m3Q+JNu1CoBYtaBRi5E2OzIty5vDOfsUUdPuBrebPgaad1B+nT5z
AuviV2LtZedO80mF7sfORQpftLYSmROxG4jEk+ElKflbVSI9AaLwmvhD313N6B0Txuu3eKHl2/Yf
JW8hHzMk7KjBdMeZ9NU5HisM1yW4wrelW8pPq1Ops+5CL6Fw1+xDoeOsZaa90XxBGp0sQxzAixCZ
HCx9BO4mnoe2ni8UpTIfKSaRkI7kQBsaING0oI8xDoiD6xbT/RrK6V6ssGhjrBYRz/puQohFOFdf
od3ZXKloPSBer7yiZYtxeYn7A7RJxAZxz6k21fPG1J45CA5xq1/lfFFQBLzCJTZLPAOwvdBeEFeF
vK+bMfQlLDYi3oFgGURSE/cW7nNk4iGV9a0dvFcOrSBx8SK/TqaFEGahluFs8CRiL5V3qBHDjBRD
AODlOwouNDl1becdBjB0BCe1aPOmLoqzG2p+gVzKDu/ucu3pAslBLXBq+PjiSzVSeiIgzT6uEbju
pQRSnAL7NgdToPkRIWIXdLTlX0jMFu18j/g7swuY8j50I3FPBQbPrA5i/QTewBy4xvxSuf5HsOFd
rrgsDgwJvHm7iHEXIVb2woxB8xyV/UvkWbVnXWRvxBRUFwxI886MPQhi/DTY/PoaDA4voGmUeGmh
gLUtghy22If7IhodyBt1kLalFs8O5JcL6hfwEXEWmkNAvfayCRfYfrWdd2qc4mxDkHJfYyZ10ATd
Gfzki0FMcucSpzoidajI0f5Olw13wpxKxKXAktifXF91D1DjcScjs/ijH9XeozG2fZ7gfdl1sxpL
+D5DZHB4iBlE9Vp2WwpnHjb4VwCVMArneT/UHnor2iOcF33V8xqS/lzVi7mA4T/6DJFZp/BJDEgi
ErlVbEeHBcLZ8Lyo5nOl5gVCrnx0xvjkV/yKoxYiNVcst4i5TjQGXLz+9sGj4ws1EbZGlF+Fxkuq
QTSpB6gKmqC6G+BlhhjfXLmz+rIOCH9hExJOVquio9864F+A2H/2x/b0b9Mc+H87iJ1efvcRTH8a
xbZHf+sP4l8cyjYHDAyCsCoh8uT7KAZAO9gYCMSFY6cKFQZH86+j2PZJixjdsMbY0MItwfBHf4CN
sOsB39jwDthZIrQO/xuu0IcFEt0GOEX8JhQk+R/Ybc1mTsOp3MNb0vGsM1F8DFe2pQFBetSTreN0
rOIpGZvZ8xKJaUumwRoR5M5Mw5hIa6vPsCOTrQwLV2Z0JfGYmYKHX8GcQa9tHHqB3sFEWc2wP86M
5nOxd6aluNHwzV2LigaI4yOTBOA8R4dp8yvHm3O5o0gMg0hfXpcecqtAlLRPwbvfeVhQnpIQsESM
pA7aXhebOdpTnJ0Qtp4i6KCvsmEzUYPsjO7YZqzmFGd2VEl5U8xmzKGGyC/lZsX2NlN2CHf6I/dh
1Bbvnm272bfZZuSWqoCnG4Y49zZ6d3rD7TI91QhOrVOD1UTeW4/QdHh3iFstxKWz2cbxqvLTvFnJ
PbYsEGlhL0fYlncNydhFShDM54A1wjxazXKAwYR9HexMXgE8yrcKc/onxwDs2AHkjl8t8hduhdDY
hCu9Pk3vvvdhjOGBbzc7vI1qefANLPJzv3YvBdt88651GnjoDal3qG3o9Kpi7R/XgbQfYhyQHzVv
KixPMPGsSY/0rZumwrtjozCY09LzujOGrHPTrzD5IDmlffKRkyIx1k7x/ajUigfxzlwy6G8VTieD
2D3aVWOVtzOrrpp+8i7biPQZByiGjg8eQShz2J1iXwFPOBiY2nupZqYQfdvEX1zI1dkkeXmpvGDK
VLywKluhhH1dB0XuIjm0LbC8OppAOMqoTAv4LEG4j458RJcl2q3A8pNaeff5PdopqPsWrStCXQM/
MwPU6lRNBJFFokBy8bdoJ0UmJjK3XVbkDmJov14RIYhXo7UO3QusfZf853ynZllHM2Lr7aJkAsip
ixeGg215/JbpFNXIUc4R/zSPWCT9luxUhqIs8tUd9Vcmp/Lo2ZFdea7PPy8NwoHyOdLDMUQY2CkE
BT5kyhhTpXPISi8LEK3jQdBH1pLF9QRbph++Mqcry6dinBFfG5El6A4xdvdkv0rKLz1EdN/wAR7T
01h29hAhD/DsgybM/KlBBCGBmRR5S3E43LZ2YkeCyM5MK4GUerUZTmuxfl18R78hXDv+PCirJQKi
h/ETJnXxEjkIqUUHE8U3yAGrLiWs8bsK+ADoX0LLM0ypa58Dcsr8goEmLBzRHFnIY5nOjYsIitnr
QywXIYr+F3lnshy3sXbbJ4IDQKKdFqovFntSpCYIShTR90Ciefq7smTrSMe/fcPT45HtkCmRKiDz
a/ZeG99Z1b/Xk55HlDCJdY3tuX+NGgEsd6wLwQhk9pOjXjj6NtPxycZOMwGMTCPK6crN05NRFtCV
y7p9qe1BQgrK40nftSIfn/HOuavEi7t2O4Syuo2TwXz891xtnPF/3feeqij5y1UERswffa+HkM/2
bfKZ0Qdiqv/jXmPfYKrkNw/ALbuKiyj+93uNSGcst8R92J6FlMhSZtDfR4xkxiHKY0uhZIiqmf5n
RBx14f4sNVReKUaMfAsCwxTE+P+CxDfhMoZRl69nrx/s53EYzV1aIxQoIkfrN5WbhhJ9y7ycc7/H
0M5rNJ9MjVG0rix+uXSnA4pJ7auPdCNapSIdb4YkjQ5FOzlrUxrVl8YK7V3NTq9bFaiW1xqY6WEF
2Kqi0tcET7hTpu2tPTvVxsfqvzNqrSvWiWalZ5hUbP1tdBzzmqCIBSsPUjx3ZaD3RgialNgWXe+x
XQoWivRdu250R5w+sBAPbYMwvEtRd6/qdvRO3kU5LovKmNdW6pvOpksM4z7xWhuduW3FGfaVkXIZ
v6n1zF2iF2vL9LJrrVtk9EBaR2Rduxdle3xRuWsc0yjeIy+qdsIx86Oe+TBk/RhFPq7DOkrfdFTk
VRDGhgY/Mpvws+zKZi6xsya9KLeRUJPSQk++aLbnMuRaTEaVDAEXDWLGUrwrhcINq1zdCewipsGI
KoGTEK4LPECaPXkt6sXybriMzCNbZ2dXIGS/FbibINDB0SlCu4WRVs7yNhNVcoINLB5piadrbc6H
XVW49n5M9fHgsa18p1dM9/R98s5g8pEFXVvq5z6V8Sbz9H1sDcMuyzUk7rMWh+0e7r9+zmXlGoEW
ZvO9l0ovDTpEHRC5DKc6506liZfM08LXfpqjdsthHbqAhNBrrcqenyjwZnSbOzcGs4ftbLJ2k0l7
HaBhWYoTsDHty2Bl/euSlinL4zrPzvPCBHxKzKI9eihUFoabHHMrYURee9KWSr9tkO7Gdzr1xCnE
z8Hwz8kisA+AN+dVlve5PCCsZrRrwmr4OkKM2eROp+MmimrjzkgalOfccNQR0Vy4H7yP+UPtl8Wp
n3KbR7fstFLhJ8ptWhW1sx0wHUBuER7bJEuT3luMn/U1xbOExT+x08e2s7QAMrJ7l5B9cy6maTiL
Ql9OcB/kziBFpz63+YzRRDSgbrJeJB+dyOR7H9k1PXLF7VZjsML0ZSz3PMHi5I+2s9XH0ts7hsbw
oBbtwU0Gyw+gjlbbpsHfGluNvh5yG1mTJcQNPA0EfTyF8BOL/KqwdAiq8Di+TfBrV0ZFNcWWfwgf
9Ep8lo3Quu1Isk64NjGRILbVl+SpXMzxS1kpQ99sTpKBvuY7bWCPyLkwgzVTkGGjObZ6j8iPC905
hmk9nJiQ1/5dnyO/6a3e5PNd7PIaO9pGG4dpJxtXJCtaWn8HKDG65nbLGLx7OiTY0Zi0z2mWFtnN
IKdkvM6bzL8NLd4pgNu99eLlbuzvQh9AHM0IHDrkjG0AGzntH9LU8B8iJb0HJdW8LHpHF8q3NfVX
nrWE24oYlm8uAqh/QUNHb4OCnbno39x5l3DnP996P770ey/nqdmsTbfEDWWyibcY234X1xOKRaum
ZLr0Zb5tGNyGf/RySsLLTBU+jLoxjZ/W7/SGXHaCfT0keJU2/I+EukL8l1AXRy/+NIN8LfbwbP3+
mwJngiYsWatvGxSjt4se+Z+Jq4L+2E1eGe5ig632ITUwJWW2NWjXiaKCQKzkkOkvsJCoQHZmKYJI
eoGJTBewCLgVICMRzKx+bSr2yAD98MbS9C4AvDjsl3wBUuIsTQ4w+gIvAQwJyKSUff+gKbqJrjgn
xG/ED3hK8MA0Vo41/oJEWbBEFUHSDv0Ow1dsryHKxE99ipZynUC73QtDA8YwaguwFQZwB7At3d4F
nBNY7qwnCPR0EW8dO3dhwKaGIwOjhXuXIhsqSWjS20llRWD9TCphbFrNaK9MxWyaLvgm2NOgnASu
ouvxAnhyL7AnvZuFdlisaLmeFA2KM0rusjAHaKPXxjpR1Cg0x8bzeEFJxUzxV/2Yee4efQHTt2p0
H7QLgApYPzAqOJLlw0KMEgoAU89fpeJWEb3TUNqG7b0O/A4INHyrRB9BXdHVzFtX8a9yRcICAQAU
q2hgwAkdUha81/imUPSs2SmZd84XqJZ1AWzRkHJi02Hh3LP9Tzyq40dIQsynRNG5WG7BNFDEruYC
7+rYDwLyUkwvOHDlW9Ygj9sIuDAEsSR5c+3Dp3xlmQq0YXGcaxvLg/JcwAwD8Z6ewwYicquIYmEp
loMfptlz3pf08zmBTzdZWYa3ZWrKcFdcen/g2cwBMCZYx8SK3G84IZwP+zIxqCShIuvY59LCUs1Q
YbzMF1g74My9TB3S2uMgH9QworrMJRDRrh2tZlYBLMk/wOqv+RtUpb5URX96qf9L1Qp0qing46M/
6CG/l3tbtQ322Ou7WrUSgG1nAOyXDgMVvPNU+cDwAnV1WFDNXdQSIP2SvUFg2pbMsgXLmplqn41I
h5o7OGLT2dlM9SOn6DzYnbtPlhKmvta3V1EfTg8h0NNt5vnTQ6JxMpt+KckPw49RBmg6p2Ouo11f
5XDGb6PcjwGE81DnGI3XdqGHaVCa4/SWI986AivGK5JnNfhngz5HBIkmq2AgLwne+JRKDSGLYCtR
jU3yLBR2KCo5D9YozNzz5BjN86RJC9aT/1FXWfxm+QO6fIFvEpx3kuDOEUzvhy1GOLmijxx3c5J2
WLxDzX7BaJpX67nqzWcyiaxPY+dZ98w8yDTwa7SHcT+XN0ixWRD7U+J+S1io78wRau4a+QtCOL/N
+mtJOp69m6eZP0yX5XLW7DF+01NLv81QBKQr8NvJvZamzYE0GOuqGbuoXmnoZcqVnYbOXSUQ66+h
3PvJBkSvRku6NLe0pf213af+3YCWdAk0WWqH1HXg0/sLahkPKcu6J0iPm7HBEwexatzBfoSRzgrD
LILZnrp5q1i5hwb+fLvhCcuudSs1H4lnUmvfzKuLdc7mpVuNbmfdG4Mz7jXHq0B2mDhPQz6320hW
1gpXk4JjzmjHidNbRUjrb+cU10M6zeE2bB0ANFYnoje3JT8jaMowRUnsTZDm4qHu18p0vF2gMHxq
dHLmVuNE7bfCaEAqBmdZ+dSzYQM36fYEKLCoKbpHIxEaRKYme4WDF69DeE7s48pw6/TL+ORFGj6r
OByGmybDQ3blF62lbXRYeGeddXYaZOQHuNuOdZSgAjGbcd+W5vzagHiEa4sq+EoYVZIecd/zSZqI
hcUptCiON1BZEpydYWR/wwFS3fZ5kh/4ViXkSVeH/j+WiqnXT8PINpx1Wg9d2V9PnGQVxzwGpk9a
FGHqDAVa1nImIwguIvj6/Yg5LNoWXjlFLJviBHmmZ8ZdkBW9/EBhEMVXLsh6YxcXnqQAhDDq7v49
nT5Gor+uen6JQ//zCJuv/V72kOuJC1eZnRz+RaWv/VH2mL9RCsGBgHLLIFrZkH6UPXCflOhQ6Q0F
qkC0Rj+1+sTHISSiLPMJJYWU/k9G2A4zg187fdeymEDg3qf6sMmX+3XD3Ws1NxojwcbW4cyTgTCc
y6XSklUvoiHb1PboHcJovMJVGFmBg77uhvOkmTeMKPw9Ggv9Gox0dmX34bCVaZ/Acw19wNRQjUh5
QuhCw7xMilnBJQW0zm99ZLaeTVDI/ai3TXovQrJOnvRS6bzTdGSHJkPrnKf6FK8masNpU5SLAgBC
vjviT+hoG9uJfV7U0rAazvjgD57FVj0Z6NmVfXJeEVKZ4RYfJb6NfNJ6LBtFFT9bSwwwfUROMxOW
KJwbrNoAenq9egeuobkBp8csYf7oKeKbxMk//LY5DXU6i6t5CLv5EXOVX978DLLG7jF6QdE2hXMd
I18R14v0piHQNQfmbg1YuH3Jaz8tdjDNnfH6f//9YvOCroKtzF+/XT/H2f/n5frxhX+8Wmx36E6w
ujATE+As//NqOQDVGDGhIbcMZtj/EeohObFhyyi3oNJ4wbn86dViKUSEik7ULq+YhUL3H2yHDPWH
/PpusXnEE6zbFsxW376k3v4k1CvGCbZCmwV6bDRkiOC/WOGFi9eVo3lProrunNhGop4izTOvEpI9
Z6+1zt0l73OKNNbJJLySA9qTCCoTokGXRaWE2skUCmRnKj0UE4y/H1LzMKszPED/O8xX2iVztL7k
j+pCht2qRGzzCsc6I+POZrO9TXJnyPYdUi8yLy6JphkRlMVqtgjI6haz9QM9tzkHUnskWMcMPbLy
KqjR7bqH6U3FYnjdV9PI5o+i7IeHrveGaldomf7gx73jb4Ypik4wCsnIzXoF+ezIMKiP3kJSCthh
GxHzKEZSS6pEjbzT2rHaqyQ1F3jZFvwXuxbzQ5zGZCqMrNzJwSLmFbtuowQvYQEplGMIJW41zeTt
+N16aOaZGsI2m/QumhrZc46k0aclEdGdiEb7c0VQkLuqrGG5pSUR9G2zgXnEyqL0nYOhf3FwDr16
PWaOTjcllRo8CKhChYuhMAGHZu4Wh2DF2HcpEx1MWMeucmZvN40WMssyL7MnNLmduWF3YHwesFhn
23TW/J3Nduk+apfpwQzL7jn0u7jfsyaKF0QJMIACvNALdLVEWuzhk1JQUg4swkgH6+B32phI+P0n
1jagvsE3rNBMhDsaTPeBRQ6aFCsbzOUUUQ3Om++JAIs+l6csNxij/X0swJKwbgR2QHbmrvmLcAA7
ks51wdz28XtAQANsmfyYqTT+r4AAAHz4G+3Bv0n/vyEBKMK0ZdU7VuwEQp3FxPg6N+MAlnpdxR6H
Nc8OB/cEqXIIIHYNajaVN2yQ1DHvutJBLFAPKkwRo+JDPBjTNTgIrgf63+6VVK3ymF+uD4MZBFfJ
5VohN8M+ayjyg+Vy7ZiXK0heriP3cjXx4XFNjf1U8dIWM37Y+nKVxZdrbWGmNNBaquvOUjdfqu7A
xqn060h0WFvysJo3trotzcvFCdPhqlJ3KUUr1yo1IK+WrW7b+vvFmwi7ZRWl/KxmROZ24zvx3gAF
fpxNWwyb//1b4w+d9t9WZZss6f96AWP9qMpAZOLzYBiF/xvkv6VWM9+HUUgIMWsrw4ewSETnMvhR
lQEsMgyTERUTKehvtsII/b6AcX9TwxueIKSCaq0DL+6fXB1q//Pr1aGE5Ox/uMUwpzPg+rUs68ZB
cJL7ATwrxtUZQX14NFnoGywINiGydRIKsMQ/6ebcQoRwnWHrFHV3iCN9fEnobq5FmaOKamrzixfJ
b2OqER0bmuSi5X1Yf8xm420rI23QaS3xGkHVk0Zvka/oy85+E2prRxrfZlO/k8yhr7CBD2/OYBsb
WTXzC94UYql63/ucDeHkBIMaSMeytvZZvGg7n8CNq8jN9I3O8bidwR7Gazo8ufMA0gThoIcvpVU5
pCixNwC76xflqi0Grhk1/rZGNr4xqUJuPd7Qxvj7bmmzs+PJM0iYd9kZ78BsRhTWk7UnZbA56DU2
YiBlzUrgM9/UQh8DzNYNY+Imf06zWlzPTqJdLT5ZwytyC8i6SjI7sHD4TYBJNSBJ8h366LTt+7gh
s1HWzrl3e3ifMhTDgfim5AizqF7bUfPWMSbZYCKqn9r2KvXje64j6xDaFecNK4PP5eS5EJwL7IUg
zgJiGdw7L9b6p2Jw8DD35fg4mZjDgmLMsvNUa0SyNhGjxrFj5K6ZenlCfZUcZNLKV6OfKIuTzNpk
g4PXebCKFpqT1p+NqG7tdZr3xqY0cp0RpQp66oCpitw8ClytO32oP/M/cWcZ7UBwhVluKrrq66pr
u9ewhV/RDMSHdU6nHae++DxVXpet2PzlxbbW6Gol1oK97mp82lFtEtdmuOeK3TNOz9iXDPNlKp5S
RdkZ/TpFjtkMIOsXAqXj3DPu8tgAwlGJFBZJGxvrfMrS5yxG7EeTsVR05NXthK12G2bQpklJ6zxo
eIV7k2bWC+FsXCNxZIOlTtxrB3oAhIA2eSrctDxNhbbcTmkbRFFtk4FHTXCcFhMVjhPPO023bmow
cG//mnNT8YH/ut6+kDS7P8/wfz901Rd/r7nhuXE0UVkzB7uQ43/U3M5vWGaQcYN0A1RjUKv/ODg5
bblLaYLRckPJYY394+CkPVbCauW84x9Qcv4ZUt6kev/54FR/DBA62+VwBuDjQ+/4xRwziRLTrJ0H
si/1B8K5eOnKxDsL9m6kbZONgIGOyLvD94RYxMd5dRVJTf8UwWJiEpjM3vovsmIz6OpHc3LnLvg5
MHYA/NuvMJjUXznMTGdrSg9WhT7Y02dqs+mht2wrVMUmBBiSxIrbqEHrIi+EGN2LK5uZTVZDjrFr
KDJEWo/nqTGRYOO8XTjchRJtTPZoMTalYg4GSUphgO63J/8qs4nsq9kezHiH0+QlxKTwpg0tEaRL
ocPBcWd6sW1smkUT2DHrjwBdrQMlOEqZfWHIIWiSRLqcKBrNRKVtCD062JwqQaNPRCuXXYQnlTHG
3GxaWcgrEGegFAjFcZmlVX74ZkK+LyCNjwK4yJi23DOh0O4HZxi+4CPGf2dYoWFe+xE4tz3KsRK4
iOv0t8kYsp1QOZXYgOFKnlncleUOXh5GoMmAOz5e7EHYA9CEjXOGbSjOFh3D9sVGCG8IS6G0zdii
28ZpWF9Mhy1F2xUynOVrXaKM3VSEbjl4hOvFeZkvxkWhPIwilsNTm5qdvqkuJkfjYniscnCg+Azl
shHNFPrkjuKOTLJaBfd2VPp4nxo92+nKS0kIDbbKmKt6x/paBqFyXcZ9KD9ZmSVe7WFJSOAAJ7EQ
fqHMmgmj1E8lXO9h/T21+H//fOKgsKmn/u50upmrPx9NP77uj2EAURJMzKjncOCxEfwhFSVIigUi
mhZW6UwDoP38OJj839jhCRpb7HTfZaQ/DiaXpSSHnHLyQWD5x1YSdcT9ejDxPfEn4XFBmWoiFv31
YKrisrcBcwRW42fnhU0UywsClVEgV7lzB9kiPLozqXFB1qTu1tH75MNviGDUDJFue9tMtzY5bWSy
6OG2S8aW0tBF3BUa4ZU7THm7YtEI3GYaiaJFbAp3ltojY80xSbFfPK97BPVSfPiSdR4MDX65bHMe
U1HsvahkypyA6jsaPaqvTEb2LSFDOcgXTCu72gvLLbgMd5POOaoWbaCN7rgFEJK0iRv0fmVdlZlr
3SC3oFrpiQ1/avsGYajmDV+ybrzLujYKg3q0nB2iP/KLiHMtHvRRk81axsi7yf1wmo+o0auTXpMe
k7lZ6irUQLhsUs6UcpOGPrsIy4FWtk4WzwlYbVbtyqe5q4O6KZAE1b5Zvc4Fdag9Jx3r/SnSr8o8
tu5o1MJn6fiUiLE3gKV3C9wlKWiD5NjJcmInlC7HKe3s/n5h6IKUAn7HSAhuSx5JMLmIuA6VGdcC
CkgdKsHfnMHMKBjLnEB9ZSeJeecEJzz72jhzQlh4O1RvEdE2Yl/IqEMCKi1hntvaAVNr+USQr5E/
kNcHotH1Nlru1cqozHKWHqcz/ZXdkTo6EMcqxuXdSId8OGuZrOE0gPoVK6fqqztEwdlJ0/KyPfR0
pv7RqiF5frIrYeb7ueBAduahd9b2HCH30FK8FJcgwgZO8GvlIlQaG6+CzKnn3+Z6lId0LI2TGKow
0LT+TngseuZ2qI/L4mUvLm/dwUhNAoHtdjBfBxvLy7aJRuKXtLhM4GXiYUZfy31YynDa8DZG7+Rm
J+vUyowjbT0RI+h7sp01RhW9R7wwZYlRdy2zTDZoj+rDhFHzZhJ29U3aPdGDuuzNczYsPt1xNd4a
NPcYPvlG5NC6wTBP8X7MermZox6YJxknq5zAx0Nd+PCGysn1Xksh78ZEO1OytClRuS5ezyU7gbr0
AC7M9nGZsG6NU43ROq1u5ngEA+JwU425dpPn5ToatbfITK57d053WPeNZ8S/dxVpa0RtOOZTTCeJ
1gYjEoEh02Mm1fymqz5QhkfrRYPEEs5ZzMAukdN2dpZXT/dYAZXduxVN5het7/eX70orLexFPgz4
MQXUP/qTQ1JL/az+h7gf71LNeGXugKNH5PR7SCi2YRO75MRY6c4NDec4ivJqjOz2vnE7kp1tx1Ep
nNB7muZOMvpuV0ZO3iRH6Lk2PGKV8wyyVnadm028rRL5Xgq2gGFliUPtRdeYz6GR2KV5hB4yoVwf
bRVvjNDIm/J8GyaJPHkGLz++Jq5wdvhvdlsYr2Xb9He8Gd27U5hTMMXNHnMXziCnN785zbJsRkyd
932tT7sojcMbsomtPULpB8Puwj0CVm/NOf6py5b0jkmbWMez/myG8mzrEzwBfoOoMQl5LeiDqxi0
iDVH4rktCbu0WXOq/+jhAU7mmB6xQ+GcEvAL4Bg5exE3DWZUxIalAbbVGSwgrH64nkwL85MbviPG
5sEZ8mt2oWCBtTA/kdU3PyEAwbVs+il51yPxfI5+R/wcAiUQ09vUcN9nwiTAmSTisWgG7b7o/ByK
dWehXnJfy440+h09PB+fLaJ5pfhCMmevPWX+Z6fxxTpn2hgURebiGoquU2ndpktNBCwjTeUvbAj+
VKplTMz2MZzAerd0mOzMP6Mw3hoL4qt2iSdrBRbHCRICbNeIGr1daGl3s5FjhWMgjZR+jB9FwTzL
zKzlWBIuD0EhtoxNgfAE6ZqtQyvtJOUJH31O1me5+t+vUf5og5jw/3UP9fjWvn35a9crYVm/91C4
UAASqvAtxwIqgsPlj+ET9QjYa8ZS7CiAi7A4/KlUcdjScc8QzGX/Ti/5j/r3Uqc4eEAJ0qT3+SfD
J2TDv5YqyEepnlQvp6LxSA1jAvYzYKDDkFvz+m2hBOHvRFM53Ro8J/fs/e0HQnm7NdEgSpLaATkJ
Rkv2H1PdNSs97A1Ue0tx34ImOub0BZukcgzg197QHktN/Z7F4ryaxIJE6Y1AN3WcBTjeFsUVRj/2
i079dQDAepdCtiKP+WVuMRGO8c4y6pPrAqXK1i4Rv1daCqi+rHVnbcDlv+dVlWuuf+RDpt88mm1h
IVYmvWWRYX+KezHcJ7nXfovTgQyjImr1L70xbTEWmjsjWyy6H2M4ZyVwldUQl4i4pOK9ISm25AOF
RnYemJQ8VIVWXC/kcN65XWvxDeJkg6+XZ5p+KpuaGzwhkRBTjDTI/WvSl6Gu4my16EblMubS22+e
X+mb3h/6k92NzYPt9wy+MTrtY6nN8Trx+kYlCPR7W2T5Yz4s5daEaGAV3jpOyXWBoWW0KMygcUEx
ymCp6BhJyMkBaBrP9YnUr+rKx5B6K71o+rTUHCxESepHyE0dR7mLT6nU+/pOS8MQol+ZPNSzH260
KZs+43u314Y7RG9m47iQG5yEEHkDWeZ66MhVWJudSe9XpF71Pjl5uB3NxvyMdAjzLtOveR1D4J42
llMpsqqdTk+5sOG0mLj4wmDQXAz5KL/6dDv2GtWhM9RXzLzSTZ120z63K3SqRCHtemjW97aWuztC
AfKnFlkhGW9TIpArwDmzs8Edz5GdGB8ijvEqhaDc4q6vv6KPIeKcaw1/6YYcTF+/bQ2NKjputKIl
U8yoCEjMMBCtyiZiyGUlJsyELCTfBWUpP1vrN/Gwbs3EtR8lOMrDoE9S25E9KdoNax3EJQ2jyh0C
xzbaeDFxWBClgVavIhFlEBwsRyOaguDP62jWeepT9NEfsgrll9IuPvRxRAae+qiKHki9Tu6kq7vZ
qezK8itbcuPTZLIq3oxDbflH0Pjxg68n2E+XdjCuWxO1/Upn8x6g6dXewAUTnqGhoQ7XJQbVTcV0
BHWHa6TFhkGmdHdMQklUaC6JddXQdO/SmY27QczFV0aMxslNtOJ2yIi7A/tF8h1yJvdrZBGHR7r0
A0BMAvIS1/3ExI3UvNCc6Chgws83wpcepHYr5mIcu+Yjl9Kqt66lZ6fEBW22ruuuSm5cQBzvDXlC
9bEhAP4ujWuDVb6xxO7JGTN6lsDN2ogKKUOVtsKvHPOhXCLGrBzf9rZ0U+R9o16n022Xxu1R5lAv
1yHYkc8DQp1Hw5djv8382a5WxOqRTZn1CwizojIB2NsT49Vj07jWdZa0YmbT5efIYMiMqm4iBdRP
25r0+a4k1aMqtUZ8FBf6PqA9SPwh5XC0rr4j+j2rzst9nrPc7C4Af3mB+SNNKIYtik6c9eyOkpA8
1hb4PxwTuix3MuWuFI3PrjcJ20eu2qVc17rdfuqbJLufjDKvr7yib5vAQZb+1c70rkMoPwJwdbMS
xL9bS/ocRw0dvE7I7dKB/5Ei/1oxwzkljam/iNi7A9EJsjObsDvX1Qty9iuxaOfIAjcWWXq8Art8
NtEprmaDGFdI56m/XqTu73wsFCFJXI12bbmog6RIiu1IpDguxcbmvc3zceIdEeGD38pl7WvZsrPn
Mr93ZQfBjPV3i+cdVf/npBuWo8nA+xgJOFJiyN3yQJZpW+5ypI2bCM3rDvk18CVgCGd60f5E/0v3
ialpeikjiqRt0YUA/VgISP8qqxR9oQM8ywOyOEEtU431YF4cMKuZnOS89vm5SbrmS9QKwDROlkQf
Oe+2t9KbzH4Fn/5BUBM2u3y0fD6JHqwjbNp92lv9Fb1Jz/p2tm+ZRM/PE/ObE1qN4aoLq6pdp2MC
wJaezlbbhqLgPghH4LFc4fm2ROq+r6iso0AbayLqQzCCgRwbyKlzn+fRetAT9x7pbxrUEUPztYda
jV1vH6MCTjpjXLtcMc8Cyu+Xph+aneMOsLb+PdXW3276Pr8VHxRcf54L/VGr/dj1sZuzmDqjv4IO
LTzvP2YrtetDiA4RDvDaBe/2o9zCRAxNGG0Uaace8U8G85rfyy1DVytCrKO4oyi28P7+k3KL74Vy
6pcAKNbWpJOYHM4e9dafUlDbrLPjsd7OdcS4MU0dVKjIDzyJrxdx6shyxl+RvWMR6HbRr8boAY+F
ErV6ZQZEhDsMqWvoIPoWIaGfaWK8coqgibUKdzrKi1I2BPhurxp9Nr5lSTOjmUJUG9E1PHRKaOuA
ldgVQnf3jZLhetJGkRsrcW7c+u7JKz3r1kevGK1jMwXLHvnEjvhK3Bv7g2kFY2dkaH6V4ZAJfHK0
0twyuXaVI9Gvk+GVd8m6bi6OxQLvou6BVV/1ns6War64G8vGwunoX0yPGTLOFSkd3JSu3m1CZY9M
Lk7JzDChmGS4wNh0hbce76lPGZMkb7UyWvYXz6VdZOCq46x5j2BVfvQlNRi0qSGIgEata2XdRExE
HgbHkQiAZuPttJTNU+96+2pU1k8LalZxggsjbiUg1nN4cYn6F8eo9t09enGSdspUOih7KSe20mcq
z2lO1qG5ZqzdYRnqG2cKwMlqz0Y6D4fl4lsVysJqhrZ7jbs6OfhVXz5wYXVBgqZ8rw985pthrNSI
vq9xYO8IJfH9IDXy7r5w3eIjcWtCOmgZh2+J6Ss4Hod4vxm0rLvRrYZ9nIZwjoBI/1zR6F0JoWk7
gBPmDD54gmadMFhBTTdOt2kyFptkisqItMa+fxQx6nkmK2F5AyNJf0T4piqoWS75l6TJvK+x3etX
BNpBwKvGwfHBd46qEW791jjkjACLVRcOLjBcZlT9tosj8TGTBvnoN978WFGwEOnkLSMi7ci0PdQQ
ERkcxN2Ydyny9mEbhkvvs4rO3feMaMN4i9QpfZKjyUwPBorz4GYA0lZJm8lHgORQROcF+Ou6rQwq
rjh0+udOkrW3RhI+loFmjuEUxHirbokOcfJgCOeSW3kps0/85UH8sJwSd1c4QvN9FTApvKu6qKFK
UPWAPYWg3h5DLcroDfTaw0dVmWEU6E0VtsiHBg/PdVN5dACOZGWKksZaeQQKwmMxq+iuZzd5G01Q
fNbkaEfesVyy6J5HFB4Oq+HpXTL82zNfbYPQq2SI69sQe2/SavgmPODE0M7ObZpOdrdZIMqYQbNM
xDKAuUxvzKUbzolfhB8pfQwEC4lh0WmL7klUAzDBnspzG4uqPrWWNcmV55bttoiqhVQTNAAnwXbk
cZpY+68K2pSn1q3nw8w4CoAuP4izlt3s0jg4onrl4Uqvh5jVxppdSUGjYkQ0BXgN+mCMFqsIosKv
ZLBMkZ09YNObql3Nu/9pIQwXmfMUEWZsRR5fgZohsJylBCySLSgY2PJSx9suR1pqzapj0rsqkLUd
vRjw5qx1kgJE40cGAbTrpxDjY60Vh8yEJxCkFqBnhqby9l9zd4q/dWwdiv9jn/L7vam+8o9VLwNp
trYOKkmYqUB8/xhTIE+mWVVCSfdi5DL4mt8NW/Zv8DZ8ZaZi3eFaTPp/3Jv2b+SQ22igVdb3JVXx
n9ybzEV+vTcvCx3P5VtDcSMM4sj59Z/klcPE9C3x7ABSphmUbR1viGEBbh1Lj2msL67x5tZnrBnd
vtIlPK5MtsBudDN+EVgz1esO+bMMzYeIbKgtNCrSu7OT2eF9XlW+nh9CP2E9YY11IPERb3sU9Ec5
lMMtP165y4zhTaZl+aKP0joCQAfTo4A9Cl64T03R8Gw7rxUcVPimAH4UnOeTpqA/rcL/OAoEVCkk
kDeKZ2MQTPbjomHiqwN1VhghyPeABHV2nLoCDEFK915bK7ZPg+j986JAREIhiehrbqxCrTbaODqW
ClxUK4SRvNCMWgU26mMQR47HkMbjhtgwiQGi3YplX3q1eyAGl1ZwxFDiqQhdR4XpRoP9wXC5gOyu
knYtLa62hlERMxN55JN3VbxzPZVjYTeUEqx49e5Ul4Io8ZlEliPzclrTpn4idC/NuSfAMFWOBbFR
xQDbJE5B/6mdxxRW4iokLVhXscHMMTQ4UEQJh/+PvDNbjttKt/QTwY2NGR19lYkcmUwOIilKNwiS
kjDP2Jie/nwb8rHLVa0T4b7rcNRFWbZpUcnMjf2v/1tr0Xn7nPDU3C9lWH+3U1eTASG3043hHyhN
/DrpQ9cdbSMb5msKYbLPebjc+U3rfrUdaZzZNZEBa3fxlbUCfOko+mAopnDDKsG65DimnwviVy80
WUwfFp7hz07TDAe/L78wvuWkw6J0bbpYryV6OX4mbUxLpBOr+KCAxtoM/HpHUuNyNh2vf8iNSH7o
s1vurZqDm5GBwCW3bA4xKGJTjFeiydi22F5Nbmf62TM6edD9cP7eGyWzQxP7+KqTK33ypFN7yxYD
0iVbCMI1qGtPC63btfYQn0s3ovo77tOtndmER8Cvklo2/jOMqgY5gv+TQHsz/l8HBnyqP7/y57Hn
/GbosCh4LwBJPHul/H6igRg2CHDlXwcAJECI0/GPY4+ZAJIJjkUQ2YBzQ/xJuHj4VKmRATL0sHnw
HxZ/59jDi/rXYw+TKt8X5y/5huxvxL+jgVPN23mKyyCRVf/VY9OiipPHJyL0w2dMRJTC2X37Wsa9
TTIKljP2iekQoWyxXnh29Tb/VC2G8yNcrezGamuvlMN9IliT957yvVPxOH3EqxmeWmx/2Nsh29kA
G0msDPMDZjdyk+eberXUh8pdb6xGe1qd8MO6qwF/XM34k/Ll+8qhj98Cs75Bu+cXxTB/zAtZNjf9
kFrd1q8bX+wI7TbDw2gkubY1jbBjHwMufqMn9Lbt4rycfkzWVD2as5kQEaRidfCTluaRCp38Ocf1
PgVcofsvbugVF3oGaVgJOzN8CIca7nHU50jsBWFnEWUlBNlse6FPb4yN2GdRDaatJE6Iw8gJzZvB
Rm/ZuZnGwqvgOmWfCjMzuutChpu79WrkbTnVzF7EuQ17+gAH6GnyJRfk8LpEn+Od9Co9addbnRyA
x9hlf+hSb/Delwt4SsSGE8mQSJwPwiCh1gx6HaNT4g/mcq6WrJoeTVuTySeNJ1+JKz8n6reP54Jz
yfOJaHGLa9pJ57XM5gok2rCJgtaNXd7yY/EgDN/dnuURu6DGvjCSwI8P8TLu0yivH5c47UHZkWGp
NEcQhZwkPVZL5KeM/OmrKzsdQS71pgdj6NK9oPLki5eTMdkBJF4I9kv3Jm21uzzX070P9CRIO8yS
a7Lk6avl1S0rfL1576omvTqFrQfjxMvJYy4eT/E4REQqhHZ6WmRrTvsBd+IU4HEsMf5U5lCDYBa0
IzZZ8dxasxyDemni+7GeKcKtfEQu0iHy0QOCKBrsgaQAsc4zOUOJ03WnTVu7zXul6wnaYa4nP2aA
qqPXmCDpGT6MJ6NCaGeVK7Fls0gwycFY0rw56I0bEscX9W5BT7uZPA2UZmg8wln0IyW5cXrr1NX4
RlkRDZShSyJDnaBfBqKctMfO8Cb2Jaxu3bKov/WFXhwBa+WpDQHDfWgi0FQP5T+kF931QzOAz0wC
7hGI6Kk3vAxNNt1xF7EObkEk7cgFIMih0b64Qx/uU7zCp4k4XjpsGoNYC0KJb2OqcA/NyMgyNqJ6
LMPYfIb58r/PNBztjUULD2Ums2szGyRfOmX3QeqEfq6BTH6UjrcEYanZe9EU8a05Wq/ECUoiRnM7
xBFp051hm47zOrZREX2uByf0z90CGBiwKbC+126b0aMGguCtNEKqVTRI2FNRytuFbf3yzfacLHxi
W+/N+6xOaEWaTY+GI1djL7Lxw97zdiEd0PxhVhiCywBghLFCEhG77NcoLhf3TgsVQTEqmMJxmhQ5
pE3yD6lgi7pCbKZMKhI3uTmlJFQWoy+3FowvHq+V2Oh/4hveynLMK9dBSDKMR6Zwj1aBH8nKgFQr
D4I/VbLuD/1036Afn0qpVx+EjGivNlbaW6uIx2cSV5hsmfr1dkORHLZLbBfFtTasnChoPrpFYCSW
dY17IByC5embazxBTU89jdTdMzChxeL5mZMgV/hvaPb2stfjVHx09OCEwT9mhjF48v162/qlev/O
pFL2ST//Syex+qKfz3Fh/GYrexfzi7CwN/3LktVxEQJVtDD6HvuVP5/iJAd6kP0Y+xme/bWi4U/R
D3BV+S6BVjCUWX9P9PvP1ncwMCYY9Z0oV+i/JwfymS+rPvdo7mKk3ch2yN+rNLEDehlyKFFbsBRw
6DPBFVyR6Tu5rcsugSCHYFHtJ71LHLkf5TFNYNSiqH1Re8joiukBXEoav+qZqQU/5Evtml9Dq+/u
rYQs2JFhCdkNchYcgCKWkuflHbIUCIVpxKEISpfSlrqbo7cwbQb3GOsG1SqS4ZD5J9fNL31o2PWm
XDtg7LUPplu7YWZVE8O2sydOmExycS1QMPRNPWvdyRmLltMBwpYHI7WRJ9OhFvwKWw9bZfcU05Sq
osZXZTWYM8w3fW2w0We/H49I9DTbTGvLDVJpS08EIVRu4FQyR0Vp5AMBRfU3sfbkGGtnTrz25/RD
TEaxoLKo2LmRNVdPWeapJuTQO6F7dZdER3BkPWeyYqEVeFi7eqZFWzhVSy95GbQpJ9BRFfvwWxjv
nZxHLago26Scb1QtQIujGoEInaMdqCW54KbhcCFC0UpLkt8WqoQcA2P/GMve3mWLvTyzHndU0oeU
e3MmbTEpO+eAx5+KvC4iF1f0A4vc3qNrp2YdPIjxKx7ZTUNs0yGu3PIh0Uti8IbBPlIlpN/GvSjP
Cb6v81gbSRD1Dn1h7C6yp3zBb+hXLVH0nlOf8nDCT56wZtLzWQRa2v4g4jClDYwLzZJXIruNzIVY
xtBwIzyxZEmIoxZ5YLdKwNXcG+SAqX0YalaNb0ZLXzvtOkYEHLAszGWwyAvh0LTqZIUtv4LKGnUQ
RkXifhomgAIWggvZSbXmRNR5FEa9M3jjRMyPzFhPXWGbhKmKEmHSbK1DilUjge3TeNvrHMjWbmEH
6O711B7OTh5XH2PjpjaXGq6um9wfnU/cNIxzZ8TeNo94L+AHi62nVguLyzibTPqsgYcXY9CHIgBy
tm4qi9ATkuOtZ/qsvA8HBviuSObikQ30fAqF3dxHrKDuxioao71CJY6VP0xvRpQQnRHPBhv4FOkd
nqdKrM9J1RofNAOOZ3duCDUrp3brzFNbB7k3+HuTeJVX3x+LnhXxWN9PvZc9uxW3znyxyp1fdtZ9
lVGxvGlDE0BudI38HY2LtENW/ctZmqWJ5TlZuA/NdFy90bIcbTovn6P7JEkltYY8aaY2dS95MuTL
DodP+xrBBH7zNJdq7ZIlb7yBhpgRPoi15Mc77Ykvle5xYYsfbT3CYIxtIRz2Z6Vlllgq4uhtmWnG
ZufskjWgwceRj9un0TadpvzLkjmmdi/ayLk3p+rJ1Fis7/ImiW5qY7Zvw2geO3bG0nho0mg2gf66
SgSs4YyXyEnmBR3SE8+SorOEldo0PudZ7Hv73E/0JTBTUkgpV2WEjpD32Qx0ojtxQg/dtgEiJIMZ
twr4QzZ0GyvUsqdhCRkliNPpNrOM9JeCCrH/h6fpbfLRVtB7/f/5Xx/T//6o6rlNorhf7V5//ur/
0y5llYD/62fuXSfLXy/c/hAOKTyhOBUNUAU2sSMTfwiHFv+ET4oyXzNCs0Xjofy7cMiY7Nt46/5w
1/FFvz97HVoCdKhufX0CO+zd/s4EbRr/kfREtxKjPRi27gB9Kgf4vwqH2Lzy0OzabYeH96GnUG5X
WykIritDSoeXcBflXXHspOtuWBosmDsj48KRnbKETglRmYxrjR1ik4ecpg2JNQ/m5KJn9SSC+uyo
XX/P80jDk8rqxyg2wyiiNxJ/Pa55UQWMSA63VehfCSUCPAoJ+xNmQ+JTDgMYZ0QfZGh5cBoisFDK
A4pZgH8aAkxQ/5ejjjHiWuZes5UqKHCpOj4L6bw8aqIC25Z9fceEQoyV9r3wivqME2Y6kKVQv4Qz
V88wJT9qSxINCww3evIovjNI2T+FZRretSlLQT3Nmk1EoMN+WYS/K6t4l47MKcOQSR5qWnc0cpGc
W+XympTfa1qtX5lygSXKD5as1rB6tYmxEnJvpfKOCeUiG5WfrFHOMsupi4Lpo6cK0Perr50ltLPj
8ADBUugFFY/TL7RwFlfApZKE/1EC3uBkW7C0pV3SHBbTPBPzPysKC99b2OkHs1q4g+dVZwfRUMtb
WY/tJZtbyp8H1os7iCGxaRN7+KI3IjnRdaqfqXEzToa7fG1mohSxrrTjDabscpOJuIUlzpunZLRu
67h4CMdRI5i9oj0rzcjPNQd+n5YVkfoJfydY0g/8atIFR6n4LAty/5zaoLMzXKiWDJfh6Lb0ThPZ
rt9MlZFfHGsejnUWR/TiLPIzdb82SLSnH6Bun9xkjHZD5z1F7lgco6x7BKvOeVJ7LXj0QLhFsUSA
eKPYxuvAQlbxtfOJ45GR1n61ImvD9DNvIEm+Tm0kDixbktvaGcMXF4L3IVdsvGlpNBBgkzk6Nd1B
FP9aRz6J3mHBY7RfpEWDlTe1YKE0UC4CzkNo6ZucuKy1oVZ/w4EPmjI7prMVNW/GkdShG210wtd0
ai5YsKYfbtM154zc3+1MCNJJk/58P2DZIztk6rY5rw2Emev3OwKK9U+ru5Hy4/kaIU3cLPgk76yG
aGXISG3jA3UjHnD33KDYQ/fUjQd0jv7gOY12RkfPPxFsOj05bdgGlXIbNHFuf3dmP39Mu/EhGePp
vgWM2mpubW2qKfrkau7nyGrNazTO8pEdmPPYc3zRFVQMm045G/iYY3Jw3NG/ZfFHBjOPBwgiTBCJ
skMM3Cm21AiJjbApSZqT5Us1JcsBI9YI0Eh/lxYVGvkmwrrPZqZG6SfttnUMopWpI4WUb19TfJcH
+k7mTZTL7LSA2ezp4vmWgcOYNL5tfDf8OofejyxXgpSyb3jKyDEnznjQsjgPEPzjrdaP3ZOLvYJc
Zt6GDDhZAMdUHtEaxiAmZ2gHN1Ti+eV5n809mWbDgl2kLM0rmSpdkACUbRZSHjYz7s4A/8Q3a3Q/
6tnWj3Lss1NpLACYuetsPUdcOm35wRWNH8lEiyJ9hrAEQIxlrf3AfX319YaM89KIoLxHMWwrhxN1
yjS6LnUMxo609y5xDN9C2wvvRdYMx6rTy0A3x5ulCfe4uVS7iBntSf4v0AiXYqsbHF5lAWRGo6+x
6cph3rIy7Y5pNRvBSG6YD+gkYMBBNW9HpSo6c3tf5e1nSa5ogaEe1JMv6v38Bk1pPlNB/uxzidxp
HD5BkdAL8o+ZwE2ewb++Ddx8f3//tddefe1/C+rCATJWwy4hKPafg7j5G/tDHs+ALyquwTb/MomT
PkyEkG3Tv2ezzf/jNqCkduynSr/hvuDpuPD/htWeW8e/6+kmMA/fFnVqXE7+w5jV1K5tRxgOQoK9
KBuPHVFvk0YrP4ZutJ8o96J+vRBDdJZ+4+z01uPTaw4TTYEOsal3uLfNc953w0sx6nycHRk30b2Y
EMRvEc0Q4SKX+sRtvCzlD5ftYcLjIYU1mYzKSgh0F+0DgUHmdwDK6DzpWtJjKOydW4JOkmPjpCZP
QJcQmWyUHF22+Qxm2l91MfkcsNMLHTwLiWDs0FVZYc9Vxl4+Gr8uPvq4rz5CDru9xCp/iLBARBuj
4U8i2jSER04cBnR3MfvPnCBqxuamMWIsqstLA9vIyLQ00x2FIR7G2NnyTwUCYJD44bCLuADhQ5Ez
oXBT2tsq0dXLT1hcO/o+oI6KzUQj5DXkyAYU57zBytJoNLBX+tx+klnTe1f8SPHbnGoFJHiFY4wY
WQq4kuaU4rSl+2fqnEtpR87F161wbxQ8CTdIzKivjW7cWpg/36zc6ve0zcqd7uID2wxNWIknoyQm
eRPT3I68kPWiPThcmm6TmQgX0UE/XhLSYi54OYwnMvOS40AC1bTj++m+hm5H/Twkfk3lWpbFz0YL
y7ElJJG4eT22mXoF5+Vh1gW7TsvCJgfw4BGr19bMfX1rUIkNm0S39kwTXn+RRb1cktq1HuF24td5
JRs6qgiyDffH+Q2wJw3SrO/0bTWLSu6mlY5wVlLCU9CERgP1rlEgRbIyFfpPvmJlLaaVu5gUgiFX
GsNYyQw8dVAaoekkV9+rqy/jSnH4K9EB/eUQyKxADypvxfO80h+WAkFchYRIV3GyvgJF6CuHGcH7
U9/gCRvYFyimhOqVTpn+iRtIFHQyc+P/YSoQxWBouyPnBjplEAaJ89lKrQgFsMxscyvsZ2xHq0ia
R6ue821emhTeWpXxNRrMeNfQBPdlqhx7HxG6cnLb0L5h9AzPJIKDXdqNuEvSVqcDEMPQDz/BWNR1
wjsD8OlPZlqlHRcoLokymmhd5ni5MgPM725rFxfCaMKPpvHKt9pcwpuqDKfPTg0lO2blccJQY+8m
N6++ZxSm3lFcXXLXtCoc0NzXukeV9DxsU4SV+Zy1HXsOttkH6TIu058qMZFVg3OaHUs0J+Di0AgW
sy2Cwa1JU9bMOoJ2LyHyljnX4O5ysheApGiO3zSdkN+ikC20Y+WscGBmlzuLBfU3u3XEWdSW9clP
bOX8iYm5ENCqIGwDuNNMZjoZOMjyiEd52tELEaM6tA6DhNvEGa+f7KgUqh3BJjxMKIGApaGcjLAj
6iNRM4hAnKz4jlQG51LlmiGp10bp3k8861/yyK/voiXMXgvh5q86Ywg+dNIFX+Hx48M8z+6hthPv
lKdmeavSe46thtRz4T6o0emaR6a90bWMBeBI2nuJpEWD8tjozsbozPm2WNwBo5zRie9eVTiP4cB+
JoCgSx30zdGs3lwIjc9OFTXi1MZp80SwkLFpZttYnkeEGz4qNIixxsGAya3IzSTtZQxsy+2UEkq6
9UYtou8rcmUgLaoOAwMPePKRcgtPgmKKTOubnHqZnyMgguwewsDztq10OCzLrmHFFxIGh142T4t7
zButcfaNvmS8a8kPovqkgEG4sWMzoU0eeD45RGhSyJhJYk/PHmiItyltG5yQmIyYcA0j7O2HEjLy
vIRxc55UIdPBdZYUN74eW+W+E+XnUE9wiFRWpmvbKgOV2xk19uldRrEFZgxfE/aHboTpe0Z4OtFY
tXltBvSfjRRSL3iPJOLcj5EogNELB+KzFC157KEsSnJafN4QeRd5Pn28i7hPSbVk0sHRyQlHAihQ
TE7zeNLYDlMF3N8GY4RI70THzZufKPDI1hsmfH2Db/RUNk7dQ8UY5R3bKoyybdksbKeKvBbnge6Q
JZA5e3Q6OFrzta7tknQrHmgjaV82StdgRtU/B3dWNMGvL1vXtw54Yfw176y+/Od9y//NwTxGhQTN
SbaKO+TG8xNgQEjhqsPaAY/q70ax/5ZffHon+FEAbxkwDOu25Hf1xaUOF+sZ2BZ+EropyKL8G/ct
QaDHX3BnlVypbG+maQBM4K5nYfOv6ktiJD13Kmsnk6TbMtOY73Qlls+jnbT3tez8C593PntkjJDD
PGhs5rdz1U04ELhyGCRSUut10ICF6flEO2Y+gqzkcBFOCOY69rNxaqIWSwH+Hlc/O34evcrWKU9u
3cEsex31ZrSkUHN0Gvze9W9KwNtmm6+ukdJ1cZCYJp+vTjZafxiUx0RGi/d1GWiKCTKrxoOy2lGI
ocGa0lfc9LaK9cUai2DtbZfUpcRHo6SjO5HEkzz2FTb93WS7kkE1L8iYqzk6tnBI0a5tregYS7SX
kvRvmt0cUNiQeLcdnn59X9RG9N0eTNIC8tnLdwO7lS9+PZlf2jZ0Axl7/ZX/vJ0T3Zzj5Iz7zJSB
zvl+V+h6fSEvedz15iCuwpbddTTsfGd6lXFgBOd+QwvgDdBDSMhzmkS3lS8rbg1Jy/O70Gr+DSla
+g4wnOzsOB+vVl+X7m5eCI66cWN8T1jsRXzNzaV9JxfFBBMux3nk7OCBX4XcoQJLWsZlStFBnElg
4Dd8iKhd1s0FoeoZ/RkbrZy9r5FetU+xPjTFISk8wmi9NZi2XUNqOxCzH5B6mNjZ70QZzuNujIJp
jbeFl8nlsZ5lQ0RCYpslT2mXTFzB618Fsas7foBbDxlZTiToWnQUbvAgyWhHuw2LH2QSbdYfnFYa
yY1LRdOAe519O0YvMdjvNTmGybOWxPbYbAgpRQW0QuUMhn6U1xBpj4CjvkjJfl+7OOy1l0OgPt7h
dSy+4WqbNYhd1eHRuqmrbvd68m4tnOl4sQ3KStbuj8yVrThISHfezJnHRn+LApmkb3Em1NZvbRGZ
jLQlY7n0s2HvG5H/wDs69a6DIbXx3u39xL0J+2YQn7TB9bt9Lfz09Z8zzf6PcNg1ib63vxS3VfPr
z9PV/c2kioC9sSrg8P7VTWL+huqtzl2lULsmoaR/iNs4fnlGUxcAuKXSe70/x1lC5TgGhfqfyV+p
8/BvHK+WrsTrv7hJOPR1rMPQa/wfiQx/PV6HudYJKos4bnQKWmievp1CmVI7pwpcIk+mR6z3lLq0
3ngy4ZuO0ULlS9SG07XsffMpVYUwUecP9wWJcNWO5IYGez3VMXRTD/eDpE7GYQ482ypdd5Nr1uzN
t/7gZOmPGXrxXmuahAa1pi2lxwCwNGon3VuAaRgZ6ku7BmJ3Khu77A1isj1RIx7hRsvdvZe6SMNe
4ojbcA3YbjMVtp0btiQYnT/0xlZp3EUhwz1mmnDn2F0XQI9lXyaTWr1E72p5jyw3fyytNakGbC2+
q1q3eBZr+LeV9ujora5CwXVe1s8NJuU9+1l8nXqkAsRnMjh33horPrJofDPwHwxBsuaOW+SgV1rW
3/dD7raBxmnJtTNJ7gcVX07sBConORjTMbIt67FYk87ZOZN67nkxCehChaF7KcjHUVM56csamd63
LvKWITK021GlqmuYZmDUVNY6P2TnouKKuc5FWnga1mx2YZveAy2sZUIS6GAfqKslyx3ktreCfpyd
h2WmjGbTrsnvtkmJ2SxTOuAaN/K+D7RIvKOgx28UpM+3zWiZ+hZCUNiHKXJA3GBwSKcYdIJWW6ca
4y22aiLpozrrIIJVWv3UEVyPE8KE7O+Nl7DylbsN48SrUwk1havg+zbDz7vnKQ9WTLppWm7tNSwf
b278VvLNHgVSyoumkvWjeIKBy1eanxxDyH4J42+utH/6k/xfXQCpGqOLWZsvTgbbeIFFmknCDdlG
7i0WzgTdhqPzYJWywDZuOQXZhJNeVMeeMptxS38Co7yjCubY9qg5P+207uu4Tv/uWFcyMFZ5gBWR
cWBKzm5zluxUxvt+FjNg6/wcxlVi6ARZzxvu4XJXDm6/t4i4fyMYyrjVlUJRyM4ZaXBDt2jHxrno
SstQAWLRIVQKhxkXxoulVI/Qsou71ODHIUfZetcRVuLTQny1yduFwGiWI0pCQZTRqNda9ZWwyIrT
uKouNKuiwGiIKhiu+4kVsbvKNXPfzONB8PoccLl1JOIrmcdYFR+6EVF/hBKCopn3KN7bYjqEReXu
caCVH60Sj3K9WT6gzMYZwceDTKwq6FDSt/orE7ZJIH7OB00JU0lrG1dHEFcaKdnKtwsULBoskmxD
HQFKdb50ZhLQZYvo5awCWKS0MOKx+bg1zOJE2SbaEt26q3RWrjIaUYDDi5/V5tlhVrgzVsGtc1PE
t17pcEWVD/Ge08J+Suqx/GCMRbfzyBJrj9k6XUTs/8eA3iaa84QaQIZ1FhnXuQTTrTgDaZAC3K2T
S5XhRDp6i9c9NPlk9WTndqz4Kquf+XzROEhcgVfPPhgBAxLWwZBKsHVuytYZKlXjFO2Krs8I3TBl
FevERSVord966yQm16nMIGHjTPgbsxq9yMxtDlGfH3h8nSHoqjFixqMTytF3ESJji5ynBsGwiEqG
wpljkBuDcqBWlravQcc/0Y2WfDLy2Pc3AA7fWVcnyYZuqO7J6IvmwfCagmoND/5021C0Fp1587PH
m3UUhK3Tpg38D26bHB8uPmoqmeyjMObyszeF7lefjgx/32aJz9CrfqetkPUdJVNWti10OzrOK8NJ
n1h6ilay01eQ57Dyng427KBXEKiHaPPOy9fexAoRLUyZXL2VG+WVTveLaLMdCli6z4Q+XLxh1E+o
ZOYXofBTg2SIB2dlUj0rT66aY/QgzCCr5kqvliUU6qyQVuXUeJQKc+VS3iBttrp9ob4BDlZncfNu
T/ly0ylMljgL+1JkoLNYr5zXXOG0owJrof0bfx+u0K2xAriYtYBx2WgC5ooV0uX84bAiY2/40EaF
8SL2gfQ6iu6NeJ2xIi01SyQF/8L9+q+4E+i8nGmiJDYGM1p+EAORLagNAMSuYomxo0Hh5CtinK+4
sbOix3LFkH1FJEurJKuUW/rE6oUt74HwjemNXCukHMY5oOZhBZz9FXb2Ffesrwi0s9LQiosmtw9E
OlG0tGcRZXXUChhqmudT0vUUWd3H5vRjWXFrTB7LjbFC2GMdAmSncYSjg7+kpM1ZC9usaBbFTYbv
23xtVLEbG0g63txU9b2FqvotW1vgSF3gErJ2w6VcIbQ90Ik8pJ5+/OdcTRnRfz37n5Pof5z8+eLf
kUf9N7JZdKh7/yejiCbwc/Lnlgn0gM/YMoTAOODyNb+DFzidabyySaPhhioYz/lHv4/+rFp8mpS5
mtKXYqEn/J2rKXrCv19NITGhHon55G7ssOz769U0rRRBMKanBmB2T3Edhie3JnAEMmKbesSwb52o
Ipko9LwhIBzdzMjq8IdvC8BfFYTp4P9gIUzjUzc6VzGW1bZC2zzR4lQGLHnCk9oLPKf96F+l3pEQ
bE++vskWseAciq5V42EJGttw7G48tyjvo0jv80NLKsm8QTW2PBLIPO0ld/TZY70+ctqTOVDscVoT
SDkYmf6VYMvnVvhRtW3brnlrijp5Rars8UPEoQm71nc30ncXCMehuro8Y8tdqQMab2Aqp3uer8Oj
zEaPB3qXDpLjNElPtqAsbauV9MMAKmJu2i1Ixc9yUlsMz6y9b0gP2hGRtH5MyJJE6xtEtGdzXb1k
omn1FzGYU7ef+smzPs1pWb0xhJdE0jWxsTdb/MfGVOmQK6J1rN00ykgllk8aHLZt5zPW0GnACkfV
wHvozi9uuQwbn1iCl9ZFJtwkbpNQcJib4Ygl3KQWFCUp2daWKCgWaofqDM1NGdPseF5DpkTNChs3
cmLf1oNp3dvWXO48hbr5aZ0/Fwp/C1cSzlJQHNO+v3cmoqqDwoPK8RQ+Z3Nen1HbjQ9HwXU4RSge
zqcC5s5c+buojac3+lOd47TyebFC9aSVtffITyw2bB+QTyF95Qr3KcyvVsAf8rKlNhySVpIEPDZK
ePptGoUJEuBhPbFjgB1sFUbogDCeC4UWIh9UpDOHOcShk83lB73Aw1mze65MXcznbjfJGlIR0w3U
YqoARmtlGXuFNToKcLTShrRuKcSnusH2weV8BgvftrkMjccobvv5oqsS5pE9fhX0Q5m9GE7bim3u
9gStAtPyzetU+WAHVqXOkP3xj2ptem474AyUcOI9VBG0pSqhM1UO3auaaMlrZ24zbqFjYKgi6djj
LroZCH35qFXbNKYFycTTt5RQl/lk04sQNe0tyavgMB2OmJ1e5+GO1ZCTHTLluuE9q3qtabiW0m0u
4KWEw4X5RD25qsLmFqd6oNeGbFYt0ZdZ1WYnqkCbc4gubY8HxZ5EwuwYCTncFDgQeFOGDES0aRB6
Th4MCZFdHaYXmNz5dR5D75m0PvOZ96lFGWjq1eGm6Htuz9R3ukFaYOLDOl8nD7KM8MVZNEKahWd/
s/3MP9hRNz2jxmefnVGkz7GRp5D5Sd+9qaKyfpOkjrybs8Y+9q5VPGhicPYun5Q7wEPjiv3ROrcV
vRtDFoVHSqOLe5Rr7476u/SOGrLylKWkV/tjV/9A49eDLA8tcuic8IubWsNn2UXWvhVEN2yGegwf
JHEiCIkD7PANDo+v3ALHQ2zSnIvRMIEloZVy2AgcAZcJnorpGx7oc819/6NM62UvWXxyQjTTxYgB
hzckX2bPWtykhLhEpUFN1RLZ36bJMnaORRTRprDs8tjSBSf2dqw7D3mUapyyvPZboiVG8oPp8XrI
KCZglzp69XetSp0ffuaab0s254FO6NODlYbGlVUHVIzmzGrcFY68F1XFbxtDA58XSae4DjtyqBiB
r1nk0UWWcH8l1ySp862JMnbrdbNH4DuE0oEPNvpcKRfAozFl/RrLMabEzoyYjsPGv7Gd3OZ6XNDO
3Q+dcehQ93jdFoCpe7IHyNzNCTF4HJME5HlGZLmPSdsxNgXxeS99adkqd6wvbwQfC/6Fyo0IbMKd
UwVtYvE5oufebFmUyfEqZscgepF585MWmuNO85f2Pm+s5GGalaw6mVIzd37EGBtUqIvf+t42N0sK
fX3pKXRl2025hEPXKl8Sz73+DdLPz/45yw3VK/XrC86hKt6//1J7U1/7+/1G/OZxdcEw4UKO4NRA
3Pp5v+GmQowetxfDJWBFZ43x5/0G7U3AdfjE+Nr0D3In+v164/+GDMPf9aBBuZJgkvs79xu6If56
vyE3j34Oh1FKkawwL/+22Uh5kmXtoB3d1HR3cd/w7qYb+MYQE9EqA/WRm6lgDTqSFhd0pvwmpgzD
heGW11AU5smdTWs/uEOUoyvMLfzDYn+uY7O/lkNfnEyLX7qdS5em0AQkN+0jmxK/wIG3YXbTM+6d
WnKwmo1rDPXLghW12wjRsWgTWo9HWh/3iNAjMV50ax1qrOfbDlT/sPh8ZVfbwztROTFwC8fFrh9q
nehXv3n3M0fmW/p0MZKO1T1A/zuU6nmW+cWKMSWI4Rjb1vI+12X6kjOkBASN9RvBphKAZGhvlooI
KqKP3E2GhXprz9pbpxXevtSl3DVjpfAJUMdKK42Nm/UkF1eGv4vTctxYVNwHdumfBwuOHe1gay0j
gXlLON3l9vgUWsunmd2+CEldKaN0RGjTZnybfsLqEa/1Yo3NDWErL0i3Or91PHFhSXAkDnnFwRn3
2E88tjJR4x+kOc7HwhzSo4YuuS24du7lMtgbnLUJCRWztjcq67/IO6/luLEsa7/KxNyjAt5czER0
esekp0jeIOgE7z2efr6TFEumRLVUWRf6/+ZNRTfFBAECOPvsvda3IMfp4dnQ6RI0G+L8pOgUp90c
T/bGRj04Czr8/gpvZtC9WctLwu2jm8zJ84dApuwDUU1EsZPjS5f9jGEpIB37ynDUZIfJgkE1+GI0
gUK6nvW5tiSJKZ1LWoaQ3tXUl9itqi1IvQhmR+0Ig8/wpMq9M3eJUVgFGKIQBTY5YAAcNGdDlT4B
nHPprtbaVA57pDNCRV/ZjTMPKvqjQ9E6a49+xbLyRgOpRznSEBoOeA4hwGebGF+CTKQHHKiav5V0
KSY5PUjlcy9Ey5ilmiEQdRdSWaZXGrz7TSpE/b0WSsZMHUwotEOn3gyMe/YpHRUEqQcvAFoD9Vw6
OARiXNgnibANsEG57GMA+XWcbDC6xDvybLH81RguAq+kMzKa0OXbtl7GITX1GLTGMGlUiuMxHO0a
4ECq3WHoaVRMSFZ0PTqdsrBBJVHipaq/UJkMruvYrVclF39axJV7GY92s5ebTr8Qosllbg75KqWe
ILXb9PVnsoTkeKqg1VjVXdOsHB1rlmo11UUGCmZjDv64TB05PI9Tnwcu8YqOcPTQFVRAZ+/iAFkH
8TAsm4A8FKK3xkVMlOPUKMpy3rU6Pe9ICBMT9Rm2Z14t+1yh64N8ErtXQ1kxjFCZto4haoSWU5v0
rnChmmnznDrac1tFDOuotZ1dFwbVQtNDMGn0YrMzYXBPCIhM06sgDWvUH72LKQwLKtHwCG0fRGTH
OtIk4P8e5G4DBDi9kT72IP+h5qDgNgsDDZBWrN0qw31Lz23e+insyhFdetxI3in5rNay1EAEl5Wv
z0wDsRsxs0N6JRNBuVaR04G77gd/XulurE0zLWnpz7hop+gonA+40m/Sxqg2mUJfdBLnfnlNgdQ/
wvOn01BWQU7gmKxQWhQGLWyNhvNExpUiTMQ9DOncZ5K2DAMHHXIJJLFq8nyXpnmwNQU+UaMJdlHE
ShfwCnb0+whED7VrbOxxASgfdLMgDzY1+ovCpus1rVhZgr9hGvl/1A6i/3Bktnh5fikf4v+aPuRB
zX+vXsoyqLNyYL3+1pcpPultgMYSTY+C6Rk6BJWN+dsibv5hsbhj2IRxoKnKYUr2qUnh/AGGjamb
zoKNFMGy+bhPq7j9B9JNgZXRmfjQwPilRVwXa/QX4zO0EYQ44fDkWCJ7yRTjtS+gMhCHdM8J03lJ
aDX8p6A3bQToGvNeu1LacEF2RxQvEUpY9cbKNOnZ1sLRnfZyZIyrYXCNR4utdj1DU2+vMt8Phmt2
7AT8KYz/d41j5PUKYQEDZ8rbamH0iJeJuWzqlpFdLJ+Uh8RXrY/9GzSTw7YRYbCs3xmldq+/QJ72
oWEHoaUy6/f067AombSDxC1po6ofZXvYNb5q+kzR0AOK7NgB5mDH6D0qoSoxn3MPo7pW8pR0q7uV
w5Z76PCqh39D9/z/tVdKBNi/X9POU7oo79e0/Ozb4+CghUEdTQiZTNno0DX7rNZRTPpyIO1M0zS+
SCKzkEBrYEbQ8uAlIcSMZ+jT4wCAiQpYw9es2DxFGJx+qagVB/nmgcAxYTqaZuPmol7+5oFIUeoS
eVrOClTI3K6puk99ZTyzIaRM0IxKaw9qB1g2lMrnWR8Gm07hSbCVoN1JlcNN3ar9SaqhFkUrUgtZ
Gri6HXP08trTKXCsUO3A7CTMcUdPV9Z0tuhla5HmfkAYbk68QtLjCYo070pNVPRnbdw7JN0PYb2l
2BWgUL3WLiQajqhEGWwRb21d4PmhPCr08aGOyRlj0kzysx+Sw7BgWlk6k0rLwwsg2Ai2ifSaej2W
hrYuMVWBc2PlQ1Q0s9EUrwdXf8mIzMFHpQQXTVPgKYlTl/Wqz+ZeGYQXeJuhULuKf4nJMYUYkchP
Xqx16CLl7pwM9kCC4OO5l1KIkBLto2Nd251pX+Wgnta2XBsvPoyQZWpqVFYGj2lSYGOgIaPNeUix
F3lGmS2lRBueC0w4V51mkbfTOtWK2TPEvc4d1pVjB7fsLLQTeCLWjR342Wljyc3AMDa0T2yGAAuz
KLVFoBXaorD9Yprh9USJNyrXZZEaW/S36aK3gmxJBBDoulgvzmDlIu0rnIpqjJSGRLWkFWnAPshk
4KZMqw1/lQ5lPbNd+qQp86WZEqnhnNzPauXyep0pPQOSMcxh7ssD4WaFx2VHlzxLy96cNQEfSNpv
ewrjq1qNpKStR9lpTlAs1bNBaqkcJd9/ypRSW9Yeo3otCowHRRuq64D1YluYiXYTya2xsYzWWiVe
066B1aQYvmx2Fp2dMKGvsnLnUz4sVCdyZx1sjXmMI+g2j8lNDbKGPjLXfdFkvbEwkeEzVi6NxdhG
FXrLgGJ6aBFn2yWKYM2p4hVDR/hPWX6aACd8CvM0u/QlZp80kdPq1Mp8pvdj6ggesFayGTBo9BYh
fYeqLvRblZ7LtV75yqoiI3leRGbFBQoyavZhANoVgPrKo6if1/hnppXhhPAKG+BVWlztUAxoi97x
vHUVmvKWMKR+Z3syIz/Cmuj3ENFxxVgsXUhNNb7UdiE/j7ziCVVTzo24b/AQtr6zoE0fzS3sWWeV
GYgpVQl+tCSYg7avl08h3vYbD9/Ceaq07aPu1fLMdhIp3KI3MufMQbvFf8zsRpQQP1gGnt9H7Ymf
fF0EqHxY/0UgAHmUsCdkpEOviwBeWkKDcNsrIpBSV79obIgoNmAUIlmcNxF+qy8XAf7QcPjovNoW
phbe2r8iKhL0qm8WAfwxJF6yUFGGgbH6uiqqh9xNs66dxqWabOjNjyel0XndJOjo/8qgn69j8ny2
RfckkXu27y0iwworQNvGjAWmhRqdODF7TUhvJSa3wg7yhTpUwvA11ndDZrbRnCyZ64Yxa0tnVwq8
SdCCmCTkO3BggzqJsgjSCAQkKWXDsjSZXM911e64YwNf6iZ52TVbUD8Q7Sy1umzA4FsTSOXh2u2g
Vs1sRiZzL2uGVTbayV2mGbhmWD2dGbohiHwy4UkQhKJ8VnqDdap5abotEuyFSTmAFnLzdoYHAeWy
b9A9z0L50sVuu+XFjKDaG72dqdS5jB00RiTOS25lASNc+JhG0GVkytq1O7JrS1ovH7DqWUIWWW91
CelND/DdJxopUF4cfSSZOXD7eqcFpTXOYrkpbn003ZMoVJxL3zTi+rIYMoSQTRU4c6Oy3Q375JDu
RWLptxIqCGmSFJFz1rY9TfBWSqLotFd66T615SGclJoZldOsT719imdrCUaB1XvUlX7p+9bcGo10
b0iywgFiC4IIGUXOeUMY0DZmudikmUFsDMi5itSckjBPIO50uLA9l9OR0DQY7J1WDjPiivpHRR6D
a4YhjjbxaFy5uFwGt1pUI5M/OVSatcLocas4GAjdYMincFcxUWZ6heqBXhDrGOREoy9ufGg889bI
wmkc56owKA9LoxrUvVsTABO43BZJ369SOX2uIytluDEmiClycxk0lkrkQGpv9cqN96ahxxFdJUta
A8EYTztVvraKcGeMRQIKUje3BT3naVEn0MgAF3KqYwBSKEAfE9G/axXnLBt8mZvTphDKG3+V0bg4
TSmHHtyAmp08gqVf6ecFuPZVBXkM1woBq0mS3isV71fJjwR1ol65mZw/xB4hzxASwPmBb3r0bdgF
clgs9KGmwXbZhJV5GeTuRhuYcwqwLLYFwFtm4eBPj10oCHWrKxeFhHCvaUbtosURuRSIuouUtvgZ
vhNnNyaxn6Oejv0dVHv/Rm9TPNeN2dors6+Nk16J0iXRRi8I/rUahFpwVTqVSjCnrCOiCom8qhho
9B0ZCSVYMXqBUbFJqsGd2WaD8rprjRNSN8g8pFqcG2ZyonrojMnlyad9pctYWnz1TO2iYaXJJNqW
E99L8i2wM2oDduXaWg3jdgYHI3iREiddeFahXaK8UW8TvbCe4Do4V2ldDZN+HPRTVR/ukRqtGx34
oZkTB2jpVb+P8cD4E6ct7DsJcePSw51K8TO2BCvqc8+vVgQS3SMr0SZ+/2hl1dxyJG8mU1bcV2U+
LHjWZnE+XNcSoQSd+0zEwRRr2Yi+LI29CdJJDPxZH82GRjsrybOcDFZ2i0YXfkpVJ3PqsHiimSUE
/XLUzhol/agMNQ5qajFqT6lde3HLprHdtu6Q7cq6s2eNTp4gwuIsqrNNr8k2PSHtDNXpRg/8lxyk
CXZVOjNxZXrExVbRmWMzj4DdvK+iWlr4kUZ6SmBvUXem89aKL4faXedQ7eUqvomJqoQNTFoTbuzK
oVcmKyVs4qy8w7aSEwhrY8jLGQsRHymHYKji4RyJCRGuyIyVEX+JnKZT3xfGY9sCMeZJDEyIH1Ji
RszFRMO1P9HHmq4UYtGpI9NSTAJnAYb9ykqvrb6+JIXbQEE4lPjM7cuGkNkm7haGXowbMx3PaAAt
SEbYaIz8m8i7ZrBKTpTLoz7iIJmxP3aEVjJYIt7yPqiJQZBmZz1LFvorx2EvnMqokqJcRxAQZvPS
a617yexg4nX+fYt9zkDg1WfJJLZ7Mr+sztvoIAjn6NalJS53l6ZpoZ94RKWj4reREbKtWkhJEjzU
gNGneM8JRMrKeO52jr7IDddmNXDSWSj59t7qoHOqaQGhyVNGNLcqIL3cAGzdoFKHWNec4NM2sFNm
1ry32WMb4XiZuMkiIjZqmlA6791YGWaaTroIGWdqIqm8vux65sWuPy812n4KWh5M7+0mLQdIqgjs
l3ClMayWtXqhSWm4wldEdGfZRM6UEVo4G4tOfhiCobvwGtuoJsDQXAnpfDtq1KCtvDYqpOLoo+hL
ZD4P296jK3gnuSDGvcokxyF2orUJVvk01JuZxOx22pSDTpCGEywHLKvL/5zyj1LtB+XfY5YO75uk
BVL5tQIUXSygZLJCNSf286I2fK0AKfM0gN9s9KkEGVV9NklTNQJU/mp+9bkLYGJRFZZrRYGc4gBP
/oUC8NB5+6YARGlMo4FGgCLTUxAF4hdtMdOqB/ZJ5YwZxceOQcm0TOPgxld9eUEWin9DR6qbsgr6
O0s1n6QsuDZL8wRyxyohzlbDNOKkOgkrRvxh0Io8gnpQN9gY4/QSxFW6ghTfnyYprWQfY7Xk14jw
fLubq0UiT7HS3GOJaWY0kz+g+/BmiWBGlqN90hGqM4+M3N/htE54OBIZYYLKGg+1UOcxnpHkra9G
jfUlkdHUBoPvLwxigEg9651imddobKgFnojwuR7kQl4MPZRBw/XJCEeRvc8Av+ypNL3pGCD/5mE/
SyqK3GkIznDBsqnNldBvEMTipZEdCfm2rEBMGvhN0AwC87fVftZYOpSQIu5YKoYHFzkpBCkD7mWc
B4tWDpTLuMZ8iLic9kJzaPi7aHz1nOxxSxuX6GirRdagWnSbfHwy2jx8ZDyuASCNdRt5sWPcUyT1
PN6SNCNRx4CR71jgxboUPLzRnuOQpUFjQAQZzSy9oMJCLB1kyhI96qzW1dsicM7x3xC2ThUFHQPD
dXSW2FIBaYkdJHioYiIFNBOLqJLJESQ7j3OqfO0xEoXgqOnVjAYSHxZr0kojN5PoikDjjVeqEzOF
2yCnYB/sBP6ZRKa8FoCoyBBLnTTD+EgO8qOPIHOilOoa+DNTwaI3+GFiqFiRyin0B15+pnYapkYw
KbuoJ6IOvlRY0D81ckzwgRXKWKqtTennQK7SIZmWdWBMwlYKF2Zuv5iRchPGyeU4Gi+QypSF1FmM
vHoEPzY42xmziJ2L9otFXHrCXrdu6m6PPKyd0za+b5X2Nlc7Z4sJG/KXj03IxWA/oguDJFQ0K6PM
85u+9k4tdGhTV9MeO92/M2rtTtKSiwTsFVQw/MSRrjcryvB8EqsKRgmruzVInh8zJOZDlkSLOhlQ
MKnGbWZVMmZ4x514xAFx1exFbdSPIH8AkDjkr4KdlbcBd+02b9rgmdxGZaF1irsaIdLAjiawXgtz
ygStzKaF2iAVJYliMZqNzcgpCQlpLJyLzkqqRQFtlNtl6O/M0FQnqmEoU2KRqJbIv2g2amK6w8xu
VXtX6pm0MDnUMMXH2oXYVH2yfnRGWyrh0GeuESFwlwhXjINO3Y+HVlwuunIjgRdTV3TqCtGzQ+lF
+46dY02bWzT1lEODzxe9Pt2pafvxwJskE+Xuh7DpUMEPokNYHpqFJGx0E4zV2tIQvcQWEiypPRay
6hCMFMq2pupPSk3z5lVoNDvdEltD0Z+kgxeeS7poWhJ+IK15FzsgVehpOkSP7ofEMBeO6HCAoTXn
qO9pexiiA8KEiqCeWC1XNVK+TC3DLS6gIZoqPB8rLwj6ObuFYJ+kNpQmUIxzow8/lkUHVC/KfaJT
PLxnLricqLvkHdFd2oUzrgrZ1W80NDpbQ0c80OhNNUtIlJ3XmO83We35t2FT6zeAEp7+Y1Zdgzb0
+6vuv54fmF6+75UVP/267CJ+pd/M6qqpjJWge7+tusKxpSMmkWWNBVQMlj4LSoQqFoktLXvGTYwe
WZE/Nd8xh8E3UdGZoMNlfqT+0rJLd+WbvgtJjAhTWP5t3ZZpC31j5sK5wsYk0ZbaGEbZVPIHHKBV
IW+0sLcvbcXqVtI4jqgjbH1LrpT7UkqWvU8bJT8vQOTiE6hrDCpJ395mRtduM3a3exmqArHmYWAu
htbSp8TZ5Zex4bTz2qwiBB1KzLS2bK2ZZxTJFY1EfRWlhXRPzmwbzWS3g6ZNZ8KBjanLlLLpAM2p
UMCHeaRYe/UQn46K38nL3m6N+wSxwEUj95I1K4wg1j66Y5wgxLTicpm5Sggev5L6DZJK9WKsPVbN
JMjY4uJh4OnT+3WlkIuDStFbMznP5iKuaDtiTpOnqMnVR0fOy5cBG+Ytblb7umokLO3sCrJkXtH7
mVnEvOxV8ioDct41G81LUO3skYwBFL4sh6lmdR91FthtzQoCnh8t6wuxb95LlxcmZTXayye07utM
7oOPoxP0z5gPWEv9UF8NOnnNRtxojywecA58zyelqQcSTH+LACNELoa3IFuI9D40IBvbG2CoZZqy
16MEkeVgqSvkxMolYTIk5QY0r9wZjeZqLuPpuUMZo9Ky1XrfEAt9sncayb2u2zG8gJY3h1XWFVOV
mpFIZK2YGVAzooktMz2wTCkixc0sOLpZdmveyTreEdvbqRU3yczSMwaCVq33S6CVZBzEbZgvyfv1
boouj/Zsk/3LIa66eUlAKMtylRVzp0/ohjemJX2IUklCpDi2d41VOc8GRcudGgSQHFmfMSoUuiw9
5VasLvXICDdjXipgENK0Yz1mQSDDQG+udLkMRGRbJG3RoRjnktOwK23isZz0JSa3GS678s6BO0D6
gYNoNos0644FM51FUtze2Y4rXbKVQR2e2c1478SlMjFH3bnMMwuBXmezCgBfSK+oeGOZjVvZXMY9
gNz1YEntnSRb2Z0yGsEu1q3sxGEm1E6IXSowQqn9jVPl5so0im5Xkz05Itkl1QlITHffZSkJodgg
dqand2xktW6H6ESa91m7CziNbZETKo13mNTEKC4qCGopp6Pk0VLr1eLZDNn0a2b/QEQHhFPF2hOR
6pziPEJnSpAw1jT0ot6DJAXFc09WhZb45YjGdAx7tD0thC6mclmz6CWIMUUuhCOBrFlr0fKfMc8p
0lVELB5QUU+mULAkX74wh9HIdkFbSqvCcYsFRhbTfaK3KSlTlwV0K2M3R08KxWM86ToCxDaK35SX
bR1b0WmNfALnNEayc1q3HiVu0lYnktLnV1aNcw0PPJGFekUztiZS62YslLMaEz2vLd/Yl7hItAUy
E7Ofub4zxutB6XDTNSNYuGnbSNBV9HCwBAK8A9/tk5+R6G0vbWCweMCKfKfYqwc1W2JEyp3RYTCd
arlV2+e9kKkZFn/gUsuQbyCpEtlXQuWmHARvEDW6hUvbC2e3kQhZ3DjabjFR7TrEMcnJZDvFJ+u2
6SHhioZMtRxRvNCi8rBYjWioEKcT3ykgOI8B9pWPgE6ImoJLStAnYVRggbFOEVV/iAK1DrGg2HSJ
CM15vbLLEMGhciNCRBuMsdKyZIq71nj9GldSWnsYD7WaoI9DEKmehoSSjlAEeLlapNNOCieE01+r
tlgFOnxeOJhCSz7rB/FaTYkIbbsJoNbsqRZZqLpIRU3Cqv1AWkCg7HkJSftE5KcWhyhV3eMdjjsv
VC5oXBKsaxfGSQtCZh6Uer7rRTgrnyaAlyjMfVwKIr81OmS5wpBHTD3Ixh0xkcQiuh7BO6Rpkv5K
Ey/4gLFYucc56y5iEROrvCbGlp1NZhOWedqDIlMWRAiFvQyF/0FmDzdDJNffK5nmzjURSeuKcNpE
JqZWPyTWlgRjTTpNLrctTNFZI6Jt/2NqIVDkP6iFJg/Nk/+DDgQ//KkUUvABISYA22qSZEIA3lst
ZP+B8FNVUMbAUUez43xuQQjIOnJXCifkCDrqnS/VtdDZAInjwcCMJES5v9SCEAf5ugWBrx6AnEx7
hBUHOcLXLYg4GHRGZ93S1lJUhN4op7fkeurXXmXBAcP5c0FL1tBWWt766x63zUgAlFK6M9KqmnsE
lZWxSSLbAkczEBS7HjpMEeSR9LW6zKNSzla9R2jI0i4rvhvg1XbJg9LVZt42STNFO9NgBjBlnCFs
e9x2Ux0SdqtRhS/O3NmpcBM7wzwEJOqyvopsXl/E9DJckdl8OWT3YqQsyfoRijUMd4q60oWcTTko
20wX6ehswPvkMrzRcFxqIJqkZeF4pjcHWKtC37TJL6Gv6HT3TenwDh7jjjFSWra8VkYwT6Ez+Nq8
yoveXgks6xpJ/NhNpYPyzynAv19hHzHzle6PBS4Qq8N2Ghx0ha6QGAI5crETJVYJvcwvq2VRG8PS
7MAETUHG1jTfjRJ6Ogvlps7RMKJfjfINoyEQWbmU76wyGNhg+m6vzxWj6D8MKj6huc7idBkmXWiS
SVFT3oS1ot05OkTzeeq27HDbRna3RqgYZ3JkgpWO8HTfDV5EG8ECtAfwTm8QVDtwTyaBIFMbfsHw
p+LKg4sveD/JqsBaskUEae0KurUkONedC/E6O8CvnQMIO9Mq93lUoWMnr6BswcyugWcPjQ/zsj4g
tRVB14bLAWib13rH8F3gtwkRAcUN3tJixAmfWzKtij4pg6pilhDqxzWqcEMVB2PUeDBJxYQNTQlT
Z9kODzaqtmtUxkrmOEoYWJ1GnqCQiIat6K1jVMb8jpn84NNC7zsyXRH2rV7YLObmYDrnlDfpgxNU
pn5p4PGuFnLq5fINkO/sRo1ab4EPDYeYR1bXmQZWdhPlpvUMzY/FdhC2MtMTDrOwV/Jgrh+cZ3lX
hGvygJEpNFwjvGnCpsYbHbS7ZTDhScX6PFeFpc2sguE2NE0cb6kqehIORBPCEoPb4mCIo5jNpnlm
NNgpDra5LBCyEkptthymMNaRMyTd1Ilv2vPiYL2TJJjdS6LO0rP2YM5LC2HUI+OlXurCwadmYw01
2YqdvXDYX1tl664z4frrMt9c407JphEemX2rF+WFJHyCqeS42UzW6/Y5YUrAlFh4Co2DvTA4WA2N
MXRPQpFaUkPlQDfu5bwShhJKIPYNWxg5mCh15pqUafwd8sHr0QjbB7Wl/uwevCA1UYf6fDh4RIrO
zzdYfZ79PtmXgaZtPSbGc1WYShBC4y+xhdXEIi61nKVEX+PkKvOMgcHBmaIeXCqZjWGFQSTelQTz
4A0vZYVJqFqx1h98LomwvICRwP0SyYkknSLFDcapRwxKeKl1hv8hckpZ1NeqvuCpEPgGInqMtcHf
/oMc1MyR1Kp29m1ZkZ8W6Rj0m26ImafGjK+wsb/kXWmUSzmQ5Y900qQLFPfpTsISQ9BUjMNmBm4p
v3XH0ONNEJspMVCIb6aFP5i8T/0OnbVmDXKwJC8HZVUVVyup91c5D5I5lRwpL5ixI1mZ4jhyVpnn
Sy92OZbSxEP7f22ofjGPo8D9MNQ8+FcSH9BwzQNElU7YmM2WYKhGn5i+xxRTTww00t7gbHop5S4G
fqhm8wS7PAAzqwF/qEZD0S26ImFSo2sZ9LZAsjp56sRVUaAhVjwwsoSnbvwxa659WS+kOUiTjiFl
58vh5PcpMwSO3nvJZg/1w/wgvz1vXsrh4qVqwI++df/Fd8+yIK2vsr/3j378QZ+Ev1dD/vI///2U
NWktfgMPkTllxmdNsPXt0OTwKx1+3x99QoyfvW6e+WgYZzKtGTp5/Ed88YFxlnqfvm39QXcG4aT9
9u1Xjc4XV+i9a/Dj03u9mD/+N1+dwMMz7Y1ZUNVl8FR/eQnoNjHroYb5qov1zmX45lM+Xway6rA9
KkRHifPliw/84jLAe8PWZOsI9l6/frvLoNDAVVVdO/ZCiDoU2bjNlOr1i3bdFxfCAokHDclEdv76
RXHJhf+N7odPF0J//cU+P8m/ekeIDiTpC7j1P53p13cEpbxl0RASFOTf8gIIBvRRjwSNW/YpNtZv
djZf3AI2Y1STJ0HsSA5ftHp/rysgxrWYDo49fxWgGM0t5+sngEY3jwevTJ1Z1eHr9zt9fmvr2NO3
eSMamEAE9PKLvz5sNpMhLdXS73babw/+sW9Ag404k/7Pr7ivL4D5B0N7TKn8k990KSBX1XBoEhz5
+MtEuGFtxT701Q1g4RwGOcqN8en2fz3Q77cCiEico16AJjeC6TC2OoTpiLP96kLwJNBAwS319u3f
biWgvyTWqKMvg2MRuCvSel+/vn4eyB5AH03fignf4Yvb5fdaDj69GBghHnc/6H+I554m/6cTlSkC
v3gzmn8wq8RcZ719/7e9EMc+GNSIOAcdxrzfXgFE9PTNsF69fv1CcfgT748/t15TP4ifD5uu4KX6
3t7svX/wtt/46/e/2VN99Q/FHuz12K8bL/G///erncSh/v3im2/18OE4n3780wn+9dBfHevtrN7+
z1WAMbR88ofDN4ZPv+b+IWHrdjp8xxHBM/+6+H/+df7nv7/6Zb94Cn746fBW/uq6+/OVcuzH/9sI
8cMe93X7+3d+/e3Dc5N+R7jw5+J47AlMMSRU/3URtN+D3YoKFH/H2z7175/GBIvRd//KnyrcY8/i
X+lD8lh+5zr9ua0+9gj3D8nH76bFv72WeRsde4wfRdgeeR9d8bs/fuf6vP32Qnd65CEus4h8578+
a2+H+Aduo8NtWr1/CF7Ux57FGc2Ul4f3jbqiDjn2GP8+NvHIP8Vp+gOXmSbwOUce4Cfg2Mce4afy
DY48yO7By96/nUTlfeyF2mbe+7NWAQQ6+gD/PnTryIu0xdgQfG8N+vRgi17d0Wfx8L3l4e0A/8Bj
/TPIzCOv0zp5/+UnhHzHXqOfgGIdeQa/zO848ng/gUQ49ghRUL///InkuWP/KvMfvGmFZ+Poz/8J
w8iRF2n2Etfvlwb6P/B4T17S5gc8t3/g+Z48DC9x9YOz+AeW7Z9Rzhz5p/hXhEp5/Zgl79Y4xj+w
ev+UHPrYM3kM3v9rCFXQjx+M720z/5zP/HXz+TaH+96Pfb2zFv/iKX55KP/3/wAAAP//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163469</xdr:colOff>
      <xdr:row>3</xdr:row>
      <xdr:rowOff>51487</xdr:rowOff>
    </xdr:from>
    <xdr:to>
      <xdr:col>32</xdr:col>
      <xdr:colOff>193777</xdr:colOff>
      <xdr:row>48</xdr:row>
      <xdr:rowOff>59281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B745182-8DBE-BAB8-289D-8D62FA7E4070}"/>
            </a:ext>
          </a:extLst>
        </xdr:cNvPr>
        <xdr:cNvGrpSpPr/>
      </xdr:nvGrpSpPr>
      <xdr:grpSpPr>
        <a:xfrm>
          <a:off x="2024167" y="649568"/>
          <a:ext cx="18017052" cy="8979015"/>
          <a:chOff x="1141712" y="369929"/>
          <a:chExt cx="17947605" cy="8116916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90364FCD-B60B-6E20-914E-5929EDA46EC0}"/>
              </a:ext>
            </a:extLst>
          </xdr:cNvPr>
          <xdr:cNvSpPr/>
        </xdr:nvSpPr>
        <xdr:spPr>
          <a:xfrm>
            <a:off x="1141712" y="369929"/>
            <a:ext cx="17947605" cy="8116916"/>
          </a:xfrm>
          <a:prstGeom prst="roundRect">
            <a:avLst>
              <a:gd name="adj" fmla="val 5338"/>
            </a:avLst>
          </a:prstGeom>
          <a:gradFill flip="none" rotWithShape="1">
            <a:gsLst>
              <a:gs pos="0">
                <a:srgbClr val="1B7339"/>
              </a:gs>
              <a:gs pos="63000">
                <a:srgbClr val="1B7339"/>
              </a:gs>
              <a:gs pos="65500">
                <a:srgbClr val="1B7339"/>
              </a:gs>
              <a:gs pos="65000">
                <a:srgbClr val="8DB99C">
                  <a:lumMod val="21000"/>
                </a:srgbClr>
              </a:gs>
              <a:gs pos="58000">
                <a:schemeClr val="bg1"/>
              </a:gs>
              <a:gs pos="55000">
                <a:srgbClr val="1B7339"/>
              </a:gs>
              <a:gs pos="100000">
                <a:srgbClr val="1B7339"/>
              </a:gs>
            </a:gsLst>
            <a:lin ang="5400000" scaled="1"/>
            <a:tileRect/>
          </a:gra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A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B4B140D-0C16-4ECE-042D-E44B70839BC6}"/>
              </a:ext>
            </a:extLst>
          </xdr:cNvPr>
          <xdr:cNvSpPr/>
        </xdr:nvSpPr>
        <xdr:spPr>
          <a:xfrm>
            <a:off x="9450494" y="577768"/>
            <a:ext cx="1992057" cy="1055960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57AA6225-9149-4379-BC98-8284299B207E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1802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EF665525-40FF-4620-82F6-7A025C63F771}"/>
              </a:ext>
            </a:extLst>
          </xdr:cNvPr>
          <xdr:cNvSpPr/>
        </xdr:nvSpPr>
        <xdr:spPr>
          <a:xfrm>
            <a:off x="9891034" y="1804193"/>
            <a:ext cx="8224701" cy="3230709"/>
          </a:xfrm>
          <a:prstGeom prst="roundRect">
            <a:avLst>
              <a:gd name="adj" fmla="val 4898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I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AE240C3E-C727-40D8-BDDF-FF8D0C5BD388}"/>
              </a:ext>
            </a:extLst>
          </xdr:cNvPr>
          <xdr:cNvSpPr/>
        </xdr:nvSpPr>
        <xdr:spPr>
          <a:xfrm>
            <a:off x="5209116" y="611107"/>
            <a:ext cx="1992058" cy="1063898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F3198C55-8AF2-456E-852D-2951BE253126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200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V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FEBE9782-38FE-4E36-9500-8A5DC04E9E42}"/>
              </a:ext>
            </a:extLst>
          </xdr:cNvPr>
          <xdr:cNvSpPr/>
        </xdr:nvSpPr>
        <xdr:spPr>
          <a:xfrm>
            <a:off x="7322545" y="595376"/>
            <a:ext cx="1994741" cy="1063898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54BA936C-5D09-4A85-8A7B-782892E22592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4134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U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673CBCE6-87B0-4C06-BA7D-DFF81F72081F}"/>
              </a:ext>
            </a:extLst>
          </xdr:cNvPr>
          <xdr:cNvSpPr/>
        </xdr:nvSpPr>
        <xdr:spPr>
          <a:xfrm>
            <a:off x="13660694" y="611758"/>
            <a:ext cx="1992059" cy="1063898"/>
          </a:xfrm>
          <a:prstGeom prst="roundRect">
            <a:avLst>
              <a:gd name="adj" fmla="val 8974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3AB0CEC9-4F6C-4618-B0B4-9E641BC58D75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1148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D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748A61D-05C9-4EA9-BC21-6C26D0F05A9D}"/>
              </a:ext>
            </a:extLst>
          </xdr:cNvPr>
          <xdr:cNvSpPr/>
        </xdr:nvSpPr>
        <xdr:spPr>
          <a:xfrm>
            <a:off x="11554612" y="576182"/>
            <a:ext cx="2001080" cy="1063898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FDE2A8C3-D813-4340-81E9-B4CA2168DA69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1184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242BA6-1686-5739-56A8-9BDC7C9E5C9A}"/>
              </a:ext>
            </a:extLst>
          </xdr:cNvPr>
          <xdr:cNvSpPr txBox="1"/>
        </xdr:nvSpPr>
        <xdr:spPr>
          <a:xfrm>
            <a:off x="1651313" y="772766"/>
            <a:ext cx="3291390" cy="467200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rgbClr val="008B2C"/>
                </a:solidFill>
              </a:rPr>
              <a:t>NIGERIA</a:t>
            </a:r>
            <a:r>
              <a:rPr lang="en-US" sz="1200" b="1">
                <a:solidFill>
                  <a:srgbClr val="008B2C"/>
                </a:solidFill>
              </a:rPr>
              <a:t> </a:t>
            </a:r>
            <a:r>
              <a:rPr lang="en-US" sz="2400" b="1">
                <a:solidFill>
                  <a:srgbClr val="008B2C"/>
                </a:solidFill>
              </a:rPr>
              <a:t>KIDNAPPING</a:t>
            </a:r>
            <a:endParaRPr lang="en-US" sz="1200" b="1">
              <a:solidFill>
                <a:srgbClr val="008B2C"/>
              </a:solidFill>
            </a:endParaRP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7C9446AF-83F3-47C2-B09E-22C977321AF6}"/>
              </a:ext>
            </a:extLst>
          </xdr:cNvPr>
          <xdr:cNvSpPr/>
        </xdr:nvSpPr>
        <xdr:spPr>
          <a:xfrm>
            <a:off x="9859994" y="5160916"/>
            <a:ext cx="8275584" cy="3212474"/>
          </a:xfrm>
          <a:prstGeom prst="roundRect">
            <a:avLst>
              <a:gd name="adj" fmla="val 5458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B21A272A-8E5C-4890-8ECA-F878A2BDF1DA}"/>
              </a:ext>
            </a:extLst>
          </xdr:cNvPr>
          <xdr:cNvSpPr/>
        </xdr:nvSpPr>
        <xdr:spPr>
          <a:xfrm>
            <a:off x="1749233" y="5127868"/>
            <a:ext cx="7855678" cy="3212474"/>
          </a:xfrm>
          <a:prstGeom prst="roundRect">
            <a:avLst>
              <a:gd name="adj" fmla="val 6579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2718C0A5-60CD-4E71-9C0D-81CF2E7F528C}"/>
              </a:ext>
            </a:extLst>
          </xdr:cNvPr>
          <xdr:cNvSpPr/>
        </xdr:nvSpPr>
        <xdr:spPr>
          <a:xfrm>
            <a:off x="1656654" y="1802294"/>
            <a:ext cx="7987946" cy="3212475"/>
          </a:xfrm>
          <a:prstGeom prst="roundRect">
            <a:avLst>
              <a:gd name="adj" fmla="val 4898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19" name="Chart 18">
                <a:extLst>
                  <a:ext uri="{FF2B5EF4-FFF2-40B4-BE49-F238E27FC236}">
                    <a16:creationId xmlns:a16="http://schemas.microsoft.com/office/drawing/2014/main" id="{45524498-1B11-47C4-8765-022FDAD56D0E}"/>
                  </a:ext>
                </a:extLst>
              </xdr:cNvPr>
              <xdr:cNvGraphicFramePr/>
            </xdr:nvGraphicFramePr>
            <xdr:xfrm>
              <a:off x="10145179" y="2570464"/>
              <a:ext cx="7709906" cy="245375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145179" y="2570464"/>
                <a:ext cx="7709906" cy="245375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2CCCFD55-141A-4EFB-B0B1-46D0A5ED038C}"/>
              </a:ext>
            </a:extLst>
          </xdr:cNvPr>
          <xdr:cNvGraphicFramePr>
            <a:graphicFrameLocks/>
          </xdr:cNvGraphicFramePr>
        </xdr:nvGraphicFramePr>
        <xdr:xfrm>
          <a:off x="2245720" y="2342635"/>
          <a:ext cx="7331410" cy="26180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178F42E-6159-8549-3D82-364FB59C7CDB}"/>
              </a:ext>
            </a:extLst>
          </xdr:cNvPr>
          <xdr:cNvSpPr txBox="1"/>
        </xdr:nvSpPr>
        <xdr:spPr>
          <a:xfrm>
            <a:off x="5173613" y="656062"/>
            <a:ext cx="2171012" cy="5117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Incidents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567D0F7-14AC-4A2F-BE1B-44DF33D637C9}"/>
              </a:ext>
            </a:extLst>
          </xdr:cNvPr>
          <xdr:cNvSpPr txBox="1"/>
        </xdr:nvSpPr>
        <xdr:spPr>
          <a:xfrm>
            <a:off x="6446233" y="455077"/>
            <a:ext cx="3822482" cy="843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Victims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1E107C0-415F-4498-A594-5CC2B60D2827}"/>
              </a:ext>
            </a:extLst>
          </xdr:cNvPr>
          <xdr:cNvSpPr txBox="1"/>
        </xdr:nvSpPr>
        <xdr:spPr>
          <a:xfrm>
            <a:off x="8538736" y="434296"/>
            <a:ext cx="3834184" cy="843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Living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E12A1B9-C066-4DF1-B740-517E26B0B467}"/>
              </a:ext>
            </a:extLst>
          </xdr:cNvPr>
          <xdr:cNvSpPr txBox="1"/>
        </xdr:nvSpPr>
        <xdr:spPr>
          <a:xfrm>
            <a:off x="13053446" y="616341"/>
            <a:ext cx="3295856" cy="6193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Unknown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FCF182C-2E92-4DC4-AEC2-CD942F3DE798}"/>
              </a:ext>
            </a:extLst>
          </xdr:cNvPr>
          <xdr:cNvSpPr txBox="1"/>
        </xdr:nvSpPr>
        <xdr:spPr>
          <a:xfrm>
            <a:off x="10647902" y="430958"/>
            <a:ext cx="3822482" cy="843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Dead</a:t>
            </a:r>
          </a:p>
        </xdr:txBody>
      </xdr: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A7F0F9DC-5FE4-4A44-9E14-D5F3EBCAA87F}"/>
              </a:ext>
            </a:extLst>
          </xdr:cNvPr>
          <xdr:cNvGraphicFramePr>
            <a:graphicFrameLocks/>
          </xdr:cNvGraphicFramePr>
        </xdr:nvGraphicFramePr>
        <xdr:xfrm>
          <a:off x="10087450" y="5586284"/>
          <a:ext cx="7414055" cy="27319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DB05E44-8627-FD44-CBEE-E1A7CA51AF67}"/>
              </a:ext>
            </a:extLst>
          </xdr:cNvPr>
          <xdr:cNvSpPr txBox="1"/>
        </xdr:nvSpPr>
        <xdr:spPr>
          <a:xfrm>
            <a:off x="1807174" y="1717074"/>
            <a:ext cx="5797379" cy="6120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Outcome by Response Time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DA98F54-DC94-495F-884C-EA87CBD63243}"/>
              </a:ext>
            </a:extLst>
          </xdr:cNvPr>
          <xdr:cNvSpPr txBox="1"/>
        </xdr:nvSpPr>
        <xdr:spPr>
          <a:xfrm>
            <a:off x="1769074" y="2186244"/>
            <a:ext cx="6786692" cy="4413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were the outcome of the victims based on response time</a:t>
            </a:r>
            <a:endParaRPr lang="en-US" sz="1800" b="1" i="1">
              <a:solidFill>
                <a:srgbClr val="008B2C"/>
              </a:solidFill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3F56876-3F71-41CA-A3F5-B95D5E5E976D}"/>
              </a:ext>
            </a:extLst>
          </xdr:cNvPr>
          <xdr:cNvSpPr txBox="1"/>
        </xdr:nvSpPr>
        <xdr:spPr>
          <a:xfrm>
            <a:off x="9966366" y="1825839"/>
            <a:ext cx="5798667" cy="4413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Number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of Incidents by State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52EE799D-51C8-46FE-8C05-25E00584578F}"/>
              </a:ext>
            </a:extLst>
          </xdr:cNvPr>
          <xdr:cNvSpPr txBox="1"/>
        </xdr:nvSpPr>
        <xdr:spPr>
          <a:xfrm>
            <a:off x="9928266" y="2257682"/>
            <a:ext cx="6786693" cy="3080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state had to highest number of incidents</a:t>
            </a:r>
            <a:endParaRPr lang="en-US" sz="1800" b="1" i="1">
              <a:solidFill>
                <a:srgbClr val="008B2C"/>
              </a:solidFill>
            </a:endParaRPr>
          </a:p>
        </xdr:txBody>
      </xdr:sp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26184FAF-D970-45C2-A6BE-0E462286B552}"/>
              </a:ext>
            </a:extLst>
          </xdr:cNvPr>
          <xdr:cNvGraphicFramePr>
            <a:graphicFrameLocks/>
          </xdr:cNvGraphicFramePr>
        </xdr:nvGraphicFramePr>
        <xdr:xfrm>
          <a:off x="2471351" y="5612998"/>
          <a:ext cx="6344031" cy="25603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17A6F5B-AF2F-495A-9425-335BFBC740A3}"/>
              </a:ext>
            </a:extLst>
          </xdr:cNvPr>
          <xdr:cNvSpPr txBox="1"/>
        </xdr:nvSpPr>
        <xdr:spPr>
          <a:xfrm>
            <a:off x="1961739" y="5207420"/>
            <a:ext cx="7147365" cy="3327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Average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Ransom Demanded and Paid by Region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BE616CE-57A6-4BB1-AD1F-DB1A0BDAC94A}"/>
              </a:ext>
            </a:extLst>
          </xdr:cNvPr>
          <xdr:cNvSpPr txBox="1"/>
        </xdr:nvSpPr>
        <xdr:spPr>
          <a:xfrm>
            <a:off x="1941960" y="5531883"/>
            <a:ext cx="6786692" cy="371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does the ransom gap look like in each region?</a:t>
            </a:r>
            <a:endParaRPr lang="en-US" sz="1800" b="1" i="1">
              <a:solidFill>
                <a:srgbClr val="008B2C"/>
              </a:solidFill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A74FD99E-8CFA-497E-BA9C-8FAF4F3E9A4E}"/>
              </a:ext>
            </a:extLst>
          </xdr:cNvPr>
          <xdr:cNvSpPr txBox="1"/>
        </xdr:nvSpPr>
        <xdr:spPr>
          <a:xfrm>
            <a:off x="10008533" y="5225393"/>
            <a:ext cx="7147366" cy="342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Survival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Flag by Region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3EC49998-D56D-4346-BFDE-7A1CB05D6DDC}"/>
              </a:ext>
            </a:extLst>
          </xdr:cNvPr>
          <xdr:cNvSpPr txBox="1"/>
        </xdr:nvSpPr>
        <xdr:spPr>
          <a:xfrm>
            <a:off x="10000449" y="5450651"/>
            <a:ext cx="6786693" cy="371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does the survival flag look like in each region?</a:t>
            </a:r>
            <a:endParaRPr lang="en-US" sz="1800" b="1" i="1">
              <a:solidFill>
                <a:srgbClr val="008B2C"/>
              </a:solidFill>
            </a:endParaRPr>
          </a:p>
        </xdr:txBody>
      </xdr:sp>
    </xdr:grpSp>
    <xdr:clientData/>
  </xdr:twoCellAnchor>
  <xdr:twoCellAnchor>
    <xdr:from>
      <xdr:col>3</xdr:col>
      <xdr:colOff>360405</xdr:colOff>
      <xdr:row>61</xdr:row>
      <xdr:rowOff>128716</xdr:rowOff>
    </xdr:from>
    <xdr:to>
      <xdr:col>32</xdr:col>
      <xdr:colOff>390713</xdr:colOff>
      <xdr:row>106</xdr:row>
      <xdr:rowOff>136511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BD9E9EFD-3B2F-4E1C-BD17-1555DB092DF9}"/>
            </a:ext>
          </a:extLst>
        </xdr:cNvPr>
        <xdr:cNvGrpSpPr/>
      </xdr:nvGrpSpPr>
      <xdr:grpSpPr>
        <a:xfrm>
          <a:off x="2221103" y="12289704"/>
          <a:ext cx="18017052" cy="8979016"/>
          <a:chOff x="1141712" y="369929"/>
          <a:chExt cx="17947605" cy="8116916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F92843D1-D068-D069-D422-332C87AEE736}"/>
              </a:ext>
            </a:extLst>
          </xdr:cNvPr>
          <xdr:cNvSpPr/>
        </xdr:nvSpPr>
        <xdr:spPr>
          <a:xfrm>
            <a:off x="1141712" y="369929"/>
            <a:ext cx="17947605" cy="8116916"/>
          </a:xfrm>
          <a:prstGeom prst="roundRect">
            <a:avLst>
              <a:gd name="adj" fmla="val 5338"/>
            </a:avLst>
          </a:prstGeom>
          <a:gradFill flip="none" rotWithShape="1">
            <a:gsLst>
              <a:gs pos="0">
                <a:srgbClr val="1B7339"/>
              </a:gs>
              <a:gs pos="63000">
                <a:srgbClr val="1B7339"/>
              </a:gs>
              <a:gs pos="65500">
                <a:srgbClr val="1B7339"/>
              </a:gs>
              <a:gs pos="65000">
                <a:srgbClr val="8DB99C">
                  <a:lumMod val="21000"/>
                </a:srgbClr>
              </a:gs>
              <a:gs pos="58000">
                <a:schemeClr val="bg1"/>
              </a:gs>
              <a:gs pos="55000">
                <a:srgbClr val="1B7339"/>
              </a:gs>
              <a:gs pos="100000">
                <a:srgbClr val="1B7339"/>
              </a:gs>
            </a:gsLst>
            <a:lin ang="5400000" scaled="1"/>
            <a:tileRect/>
          </a:gra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A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42248B3C-529E-37FC-7AC0-AB69A6349F8C}"/>
              </a:ext>
            </a:extLst>
          </xdr:cNvPr>
          <xdr:cNvSpPr/>
        </xdr:nvSpPr>
        <xdr:spPr>
          <a:xfrm>
            <a:off x="9450494" y="577768"/>
            <a:ext cx="1992057" cy="1055960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57AA6225-9149-4379-BC98-8284299B207E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1802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DF8E677E-9B24-F4DE-7096-370446DF1412}"/>
              </a:ext>
            </a:extLst>
          </xdr:cNvPr>
          <xdr:cNvSpPr/>
        </xdr:nvSpPr>
        <xdr:spPr>
          <a:xfrm>
            <a:off x="9891034" y="1804193"/>
            <a:ext cx="8224701" cy="3230709"/>
          </a:xfrm>
          <a:prstGeom prst="roundRect">
            <a:avLst>
              <a:gd name="adj" fmla="val 4898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I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BC12FA7D-A56D-B55B-CE5D-23CC03934054}"/>
              </a:ext>
            </a:extLst>
          </xdr:cNvPr>
          <xdr:cNvSpPr/>
        </xdr:nvSpPr>
        <xdr:spPr>
          <a:xfrm>
            <a:off x="5209116" y="611107"/>
            <a:ext cx="1992058" cy="1063898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F3198C55-8AF2-456E-852D-2951BE253126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200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V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E18B9552-8DA8-266D-1B33-CEAA296E0DE9}"/>
              </a:ext>
            </a:extLst>
          </xdr:cNvPr>
          <xdr:cNvSpPr/>
        </xdr:nvSpPr>
        <xdr:spPr>
          <a:xfrm>
            <a:off x="7322545" y="595376"/>
            <a:ext cx="1994741" cy="1063898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54BA936C-5D09-4A85-8A7B-782892E22592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4134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U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D35E8BE1-32BD-4498-CFB6-99B218E76B78}"/>
              </a:ext>
            </a:extLst>
          </xdr:cNvPr>
          <xdr:cNvSpPr/>
        </xdr:nvSpPr>
        <xdr:spPr>
          <a:xfrm>
            <a:off x="13660694" y="611758"/>
            <a:ext cx="1992059" cy="1063898"/>
          </a:xfrm>
          <a:prstGeom prst="roundRect">
            <a:avLst>
              <a:gd name="adj" fmla="val 8974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3AB0CEC9-4F6C-4618-B0B4-9E641BC58D75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1148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TD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812E46BE-9C11-116E-A16D-9D476433C4EF}"/>
              </a:ext>
            </a:extLst>
          </xdr:cNvPr>
          <xdr:cNvSpPr/>
        </xdr:nvSpPr>
        <xdr:spPr>
          <a:xfrm>
            <a:off x="11554612" y="576182"/>
            <a:ext cx="2001080" cy="1063898"/>
          </a:xfrm>
          <a:prstGeom prst="roundRect">
            <a:avLst>
              <a:gd name="adj" fmla="val 8975"/>
            </a:avLst>
          </a:prstGeom>
          <a:solidFill>
            <a:srgbClr val="008B2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FDE2A8C3-D813-4340-81E9-B4CA2168DA69}" type="TxLink">
              <a:rPr lang="en-US" sz="28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ctr"/>
              <a:t>1184</a:t>
            </a:fld>
            <a:endParaRPr lang="en-US" sz="28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31813349-02A5-710F-1F6A-CDC448CBB7EE}"/>
              </a:ext>
            </a:extLst>
          </xdr:cNvPr>
          <xdr:cNvSpPr txBox="1"/>
        </xdr:nvSpPr>
        <xdr:spPr>
          <a:xfrm>
            <a:off x="1651313" y="772766"/>
            <a:ext cx="3291390" cy="467200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rgbClr val="008B2C"/>
                </a:solidFill>
              </a:rPr>
              <a:t>NIGERIA</a:t>
            </a:r>
            <a:r>
              <a:rPr lang="en-US" sz="1200" b="1">
                <a:solidFill>
                  <a:srgbClr val="008B2C"/>
                </a:solidFill>
              </a:rPr>
              <a:t> </a:t>
            </a:r>
            <a:r>
              <a:rPr lang="en-US" sz="2400" b="1">
                <a:solidFill>
                  <a:srgbClr val="008B2C"/>
                </a:solidFill>
              </a:rPr>
              <a:t>KIDNAPPING</a:t>
            </a:r>
            <a:endParaRPr lang="en-US" sz="1200" b="1">
              <a:solidFill>
                <a:srgbClr val="008B2C"/>
              </a:solidFill>
            </a:endParaRPr>
          </a:p>
        </xdr:txBody>
      </xdr:sp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03B41700-30B7-7FB4-C8CF-695C2718B4C6}"/>
              </a:ext>
            </a:extLst>
          </xdr:cNvPr>
          <xdr:cNvSpPr/>
        </xdr:nvSpPr>
        <xdr:spPr>
          <a:xfrm>
            <a:off x="9859994" y="5160916"/>
            <a:ext cx="8275584" cy="3212474"/>
          </a:xfrm>
          <a:prstGeom prst="roundRect">
            <a:avLst>
              <a:gd name="adj" fmla="val 5458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3" name="Rectangle: Rounded Corners 42">
            <a:extLst>
              <a:ext uri="{FF2B5EF4-FFF2-40B4-BE49-F238E27FC236}">
                <a16:creationId xmlns:a16="http://schemas.microsoft.com/office/drawing/2014/main" id="{D7C2E608-6EAC-E22F-690F-33145AEC1E14}"/>
              </a:ext>
            </a:extLst>
          </xdr:cNvPr>
          <xdr:cNvSpPr/>
        </xdr:nvSpPr>
        <xdr:spPr>
          <a:xfrm>
            <a:off x="1749233" y="5127868"/>
            <a:ext cx="7855678" cy="3212474"/>
          </a:xfrm>
          <a:prstGeom prst="roundRect">
            <a:avLst>
              <a:gd name="adj" fmla="val 6579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21EF2DF7-E9F2-1CFE-4D0D-16F42B7601A0}"/>
              </a:ext>
            </a:extLst>
          </xdr:cNvPr>
          <xdr:cNvSpPr/>
        </xdr:nvSpPr>
        <xdr:spPr>
          <a:xfrm>
            <a:off x="1656654" y="1802294"/>
            <a:ext cx="7987946" cy="3212475"/>
          </a:xfrm>
          <a:prstGeom prst="roundRect">
            <a:avLst>
              <a:gd name="adj" fmla="val 4898"/>
            </a:avLst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20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CF1793F0-A89E-E369-273F-18E6F02F83B0}"/>
              </a:ext>
            </a:extLst>
          </xdr:cNvPr>
          <xdr:cNvSpPr txBox="1"/>
        </xdr:nvSpPr>
        <xdr:spPr>
          <a:xfrm>
            <a:off x="5173613" y="656062"/>
            <a:ext cx="2171012" cy="5117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Incidents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987BC9D6-3054-1311-18FE-E15975736A8E}"/>
              </a:ext>
            </a:extLst>
          </xdr:cNvPr>
          <xdr:cNvSpPr txBox="1"/>
        </xdr:nvSpPr>
        <xdr:spPr>
          <a:xfrm>
            <a:off x="6446233" y="455077"/>
            <a:ext cx="3822482" cy="843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Victims</a:t>
            </a: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FC6D4488-A87F-FBE4-DD07-70C365B9B44B}"/>
              </a:ext>
            </a:extLst>
          </xdr:cNvPr>
          <xdr:cNvSpPr txBox="1"/>
        </xdr:nvSpPr>
        <xdr:spPr>
          <a:xfrm>
            <a:off x="8538736" y="434296"/>
            <a:ext cx="3834184" cy="843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Living</a:t>
            </a: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61107FC2-25CD-D4D5-AB04-6B0DD1F13036}"/>
              </a:ext>
            </a:extLst>
          </xdr:cNvPr>
          <xdr:cNvSpPr txBox="1"/>
        </xdr:nvSpPr>
        <xdr:spPr>
          <a:xfrm>
            <a:off x="13053446" y="616341"/>
            <a:ext cx="3295856" cy="6193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Unknown</a:t>
            </a: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13DB0C37-04AB-F3EE-2BA2-81690B8C1CCD}"/>
              </a:ext>
            </a:extLst>
          </xdr:cNvPr>
          <xdr:cNvSpPr txBox="1"/>
        </xdr:nvSpPr>
        <xdr:spPr>
          <a:xfrm>
            <a:off x="10647902" y="430958"/>
            <a:ext cx="3822482" cy="843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chemeClr val="bg1"/>
                </a:solidFill>
              </a:rPr>
              <a:t>Total Dead</a:t>
            </a: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C8F8396F-1563-641D-B19E-5F5C93F5517C}"/>
              </a:ext>
            </a:extLst>
          </xdr:cNvPr>
          <xdr:cNvSpPr txBox="1"/>
        </xdr:nvSpPr>
        <xdr:spPr>
          <a:xfrm>
            <a:off x="1807174" y="1717074"/>
            <a:ext cx="5797379" cy="6120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Percentage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of Incidents by Region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FD0D4413-B4E9-F2FA-628A-251AA37FF74C}"/>
              </a:ext>
            </a:extLst>
          </xdr:cNvPr>
          <xdr:cNvSpPr txBox="1"/>
        </xdr:nvSpPr>
        <xdr:spPr>
          <a:xfrm>
            <a:off x="1769074" y="2186244"/>
            <a:ext cx="6786692" cy="4413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is the percentage incident in each region?</a:t>
            </a:r>
            <a:endParaRPr lang="en-US" sz="1800" b="1" i="1">
              <a:solidFill>
                <a:srgbClr val="008B2C"/>
              </a:solidFill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7E585AAE-899F-76B2-8D72-E7FFA51A6709}"/>
              </a:ext>
            </a:extLst>
          </xdr:cNvPr>
          <xdr:cNvSpPr txBox="1"/>
        </xdr:nvSpPr>
        <xdr:spPr>
          <a:xfrm>
            <a:off x="9966366" y="1825839"/>
            <a:ext cx="5798667" cy="4413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Number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of Incidents by Location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00EBC2E6-9FAB-A615-D4E1-62E22127C0E6}"/>
              </a:ext>
            </a:extLst>
          </xdr:cNvPr>
          <xdr:cNvSpPr txBox="1"/>
        </xdr:nvSpPr>
        <xdr:spPr>
          <a:xfrm>
            <a:off x="9928266" y="2257682"/>
            <a:ext cx="6786693" cy="3080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location type had the highest kidnappings?</a:t>
            </a:r>
            <a:endParaRPr lang="en-US" sz="1800" b="1" i="1">
              <a:solidFill>
                <a:srgbClr val="008B2C"/>
              </a:solidFill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43A61520-4685-6CFE-0469-24DECCC6EF06}"/>
              </a:ext>
            </a:extLst>
          </xdr:cNvPr>
          <xdr:cNvSpPr txBox="1"/>
        </xdr:nvSpPr>
        <xdr:spPr>
          <a:xfrm>
            <a:off x="1961739" y="5207420"/>
            <a:ext cx="7147365" cy="3327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Incidents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over Time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A458D9F9-CD4F-4DCF-E73B-53A1E9C616DD}"/>
              </a:ext>
            </a:extLst>
          </xdr:cNvPr>
          <xdr:cNvSpPr txBox="1"/>
        </xdr:nvSpPr>
        <xdr:spPr>
          <a:xfrm>
            <a:off x="1941960" y="5531883"/>
            <a:ext cx="6786692" cy="371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>
                <a:solidFill>
                  <a:srgbClr val="008B2C"/>
                </a:solidFill>
              </a:rPr>
              <a:t>What</a:t>
            </a:r>
            <a:r>
              <a:rPr lang="en-US" sz="1800" b="1" i="1" baseline="0">
                <a:solidFill>
                  <a:srgbClr val="008B2C"/>
                </a:solidFill>
              </a:rPr>
              <a:t> does the trend look like over time?</a:t>
            </a:r>
            <a:endParaRPr lang="en-US" sz="1800" b="1" i="1">
              <a:solidFill>
                <a:srgbClr val="008B2C"/>
              </a:solidFill>
            </a:endParaRP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A8CD8657-5687-04A2-BA34-4E372C6D4AF9}"/>
              </a:ext>
            </a:extLst>
          </xdr:cNvPr>
          <xdr:cNvSpPr txBox="1"/>
        </xdr:nvSpPr>
        <xdr:spPr>
          <a:xfrm>
            <a:off x="10008533" y="5225393"/>
            <a:ext cx="7147366" cy="342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000" b="1">
                <a:solidFill>
                  <a:srgbClr val="008B2C"/>
                </a:solidFill>
                <a:latin typeface="Arial Black" panose="020B0A04020102020204" pitchFamily="34" charset="0"/>
              </a:rPr>
              <a:t>Incidents</a:t>
            </a:r>
            <a:r>
              <a:rPr lang="en-US" sz="2000" b="1" baseline="0">
                <a:solidFill>
                  <a:srgbClr val="008B2C"/>
                </a:solidFill>
                <a:latin typeface="Arial Black" panose="020B0A04020102020204" pitchFamily="34" charset="0"/>
              </a:rPr>
              <a:t> by Settlement</a:t>
            </a:r>
            <a:endParaRPr lang="en-US" sz="2000" b="1">
              <a:solidFill>
                <a:srgbClr val="008B2C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96894BFB-8CA9-1514-EC54-861F1205CFF7}"/>
              </a:ext>
            </a:extLst>
          </xdr:cNvPr>
          <xdr:cNvSpPr txBox="1"/>
        </xdr:nvSpPr>
        <xdr:spPr>
          <a:xfrm>
            <a:off x="10000449" y="5450651"/>
            <a:ext cx="6786693" cy="371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 i="1" baseline="0">
                <a:solidFill>
                  <a:srgbClr val="008B2C"/>
                </a:solidFill>
              </a:rPr>
              <a:t>Were the Incidents higher in Urban or Rural areas?</a:t>
            </a:r>
            <a:endParaRPr lang="en-US" sz="1800" b="1" i="1">
              <a:solidFill>
                <a:srgbClr val="008B2C"/>
              </a:solidFill>
            </a:endParaRPr>
          </a:p>
        </xdr:txBody>
      </xdr:sp>
    </xdr:grpSp>
    <xdr:clientData/>
  </xdr:twoCellAnchor>
  <xdr:twoCellAnchor>
    <xdr:from>
      <xdr:col>18</xdr:col>
      <xdr:colOff>296199</xdr:colOff>
      <xdr:row>92</xdr:row>
      <xdr:rowOff>6600</xdr:rowOff>
    </xdr:from>
    <xdr:to>
      <xdr:col>28</xdr:col>
      <xdr:colOff>454132</xdr:colOff>
      <xdr:row>106</xdr:row>
      <xdr:rowOff>97483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AF32E06-C76E-452A-B30B-153DC3385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205946</xdr:colOff>
      <xdr:row>73</xdr:row>
      <xdr:rowOff>25744</xdr:rowOff>
    </xdr:from>
    <xdr:to>
      <xdr:col>30</xdr:col>
      <xdr:colOff>411891</xdr:colOff>
      <xdr:row>88</xdr:row>
      <xdr:rowOff>65903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5705C88C-69E9-4EB1-A3AE-8E59F8956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502983</xdr:colOff>
      <xdr:row>92</xdr:row>
      <xdr:rowOff>24422</xdr:rowOff>
    </xdr:from>
    <xdr:to>
      <xdr:col>17</xdr:col>
      <xdr:colOff>245550</xdr:colOff>
      <xdr:row>106</xdr:row>
      <xdr:rowOff>51485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DE17ECDB-D429-429B-B0B3-30639BEE9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97691</xdr:colOff>
      <xdr:row>73</xdr:row>
      <xdr:rowOff>128717</xdr:rowOff>
    </xdr:from>
    <xdr:to>
      <xdr:col>17</xdr:col>
      <xdr:colOff>146538</xdr:colOff>
      <xdr:row>87</xdr:row>
      <xdr:rowOff>136532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3E1B9B33-E875-4DA2-8EF4-C839C73FD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0.32075</cdr:x>
      <cdr:y>0.2797</cdr:y>
    </cdr:from>
    <cdr:to>
      <cdr:x>0.58176</cdr:x>
      <cdr:y>0.70654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062872-73A8-C8A8-FFDF-F58D22D21BCB}"/>
            </a:ext>
          </a:extLst>
        </cdr:cNvPr>
        <cdr:cNvSpPr txBox="1"/>
      </cdr:nvSpPr>
      <cdr:spPr>
        <a:xfrm xmlns:a="http://schemas.openxmlformats.org/drawingml/2006/main">
          <a:off x="1833113" y="942095"/>
          <a:ext cx="1491651" cy="14377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0.22857</cdr:x>
      <cdr:y>0.27441</cdr:y>
    </cdr:from>
    <cdr:to>
      <cdr:x>0.60483</cdr:x>
      <cdr:y>0.72068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EC52D5D-D792-06E2-8274-C64BEE10B19C}"/>
            </a:ext>
          </a:extLst>
        </cdr:cNvPr>
        <cdr:cNvSpPr txBox="1"/>
      </cdr:nvSpPr>
      <cdr:spPr>
        <a:xfrm xmlns:a="http://schemas.openxmlformats.org/drawingml/2006/main">
          <a:off x="1453743" y="790841"/>
          <a:ext cx="2393156" cy="1286103"/>
        </a:xfrm>
        <a:prstGeom xmlns:a="http://schemas.openxmlformats.org/drawingml/2006/main" prst="rect">
          <a:avLst/>
        </a:prstGeom>
        <a:effectLst xmlns:a="http://schemas.openxmlformats.org/drawingml/2006/main">
          <a:glow rad="228600">
            <a:schemeClr val="accent3">
              <a:satMod val="175000"/>
              <a:alpha val="40000"/>
            </a:schemeClr>
          </a:glow>
          <a:outerShdw blurRad="50800" dist="50800" dir="5400000" algn="ctr" rotWithShape="0">
            <a:schemeClr val="accent3">
              <a:lumMod val="50000"/>
            </a:schemeClr>
          </a:outerShdw>
        </a:effectLst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3200" b="1" kern="1200">
              <a:solidFill>
                <a:srgbClr val="1B7339"/>
              </a:solidFill>
            </a:rPr>
            <a:t>RURAL</a:t>
          </a:r>
          <a:endParaRPr lang="en-US" sz="4000" b="1" kern="1200">
            <a:solidFill>
              <a:srgbClr val="1B7339"/>
            </a:solidFill>
          </a:endParaRPr>
        </a:p>
        <a:p xmlns:a="http://schemas.openxmlformats.org/drawingml/2006/main">
          <a:pPr algn="ctr"/>
          <a:r>
            <a:rPr lang="en-US" sz="3200" b="1" kern="1200">
              <a:solidFill>
                <a:srgbClr val="1B7339"/>
              </a:solidFill>
            </a:rPr>
            <a:t>118</a:t>
          </a:r>
          <a:endParaRPr lang="en-US" sz="4000" b="1" kern="1200">
            <a:solidFill>
              <a:srgbClr val="1B7339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_USER" refreshedDate="46128.304532523151" createdVersion="8" refreshedVersion="8" minRefreshableVersion="3" recordCount="14" xr:uid="{4470D359-F9C2-4ACC-AD7D-ABE61DC19F5B}">
  <cacheSource type="worksheet">
    <worksheetSource ref="A3:B17" sheet="Pivot table"/>
  </cacheSource>
  <cacheFields count="2">
    <cacheField name="Row Labels" numFmtId="0">
      <sharedItems count="14">
        <s v="Abuja"/>
        <s v="Anambra"/>
        <s v="Benue"/>
        <s v="Borno"/>
        <s v="Delta"/>
        <s v="Kaduna"/>
        <s v="Kano"/>
        <s v="Katsina"/>
        <s v="Lagos"/>
        <s v="Ogun"/>
        <s v="Oyo"/>
        <s v="Rivers"/>
        <s v="Zamfara"/>
        <s v="Grand Total"/>
      </sharedItems>
    </cacheField>
    <cacheField name="Count of Incident_ID" numFmtId="0">
      <sharedItems containsSemiMixedTypes="0" containsString="0" containsNumber="1" containsInteger="1" minValue="9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00794675924" backgroundQuery="1" createdVersion="8" refreshedVersion="8" minRefreshableVersion="3" recordCount="0" supportSubquery="1" supportAdvancedDrill="1" xr:uid="{4EE76D45-F238-449F-BECA-338920D6B5AC}">
  <cacheSource type="external" connectionId="3"/>
  <cacheFields count="3">
    <cacheField name="[Table1_3].[Year].[Year]" caption="Year" numFmtId="0" hierarchy="20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1_3].[Year].&amp;[2023]"/>
            <x15:cachedUniqueName index="1" name="[Table1_3].[Year].&amp;[2024]"/>
          </x15:cachedUniqueNames>
        </ext>
      </extLst>
    </cacheField>
    <cacheField name="[Measures].[Count of Incident_ID]" caption="Count of Incident_ID" numFmtId="0" hierarchy="38" level="32767"/>
    <cacheField name="[Table1_3].[Month].[Month]" caption="Month" numFmtId="0" hierarchy="1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2" memberValueDatatype="130" unbalanced="0">
      <fieldsUsage count="2">
        <fieldUsage x="-1"/>
        <fieldUsage x="2"/>
      </fieldsUsage>
    </cacheHierarchy>
    <cacheHierarchy uniqueName="[Table1_3].[Year]" caption="Year" attribute="1" defaultMemberUniqueName="[Table1_3].[Year].[All]" allUniqueName="[Table1_3].[Year].[All]" dimensionUniqueName="[Table1_3]" displayFolder="" count="2" memberValueDatatype="20" unbalanced="0">
      <fieldsUsage count="2">
        <fieldUsage x="-1"/>
        <fieldUsage x="0"/>
      </fieldsUsage>
    </cacheHierarchy>
    <cacheHierarchy uniqueName="[Table1_3].[State]" caption="State" attribute="1" defaultMemberUniqueName="[Table1_3].[State].[All]" allUniqueName="[Table1_3].[State].[All]" dimensionUniqueName="[Table1_3]" displayFolder="" count="0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297774305553" backgroundQuery="1" createdVersion="8" refreshedVersion="8" minRefreshableVersion="3" recordCount="0" supportSubquery="1" supportAdvancedDrill="1" xr:uid="{78F29C22-AFB2-4257-86D7-D00BE93209C2}">
  <cacheSource type="external" connectionId="3"/>
  <cacheFields count="3">
    <cacheField name="[Table1_3].[Outcome].[Outcome]" caption="Outcome" numFmtId="0" hierarchy="28" level="1">
      <sharedItems count="4">
        <s v="Escaped"/>
        <s v="Kidnapped"/>
        <s v="Killed"/>
        <s v="Released"/>
      </sharedItems>
    </cacheField>
    <cacheField name="[Measures].[Count of Outcome]" caption="Count of Outcome" numFmtId="0" hierarchy="43" level="32767"/>
    <cacheField name="[Table1_3].[Security_Response].[Security_Response]" caption="Security_Response" numFmtId="0" hierarchy="29" level="1">
      <sharedItems count="4">
        <s v="Delayed"/>
        <s v="Moderate"/>
        <s v="No Response"/>
        <s v="Quick"/>
      </sharedItems>
    </cacheField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0" memberValueDatatype="130" unbalanced="0"/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0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2" memberValueDatatype="130" unbalanced="0">
      <fieldsUsage count="2">
        <fieldUsage x="-1"/>
        <fieldUsage x="2"/>
      </fieldsUsage>
    </cacheHierarchy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28231481479" backgroundQuery="1" createdVersion="8" refreshedVersion="8" minRefreshableVersion="3" recordCount="0" supportSubquery="1" supportAdvancedDrill="1" xr:uid="{C251FB97-B8DB-4111-89A0-F44ADACE0C6F}">
  <cacheSource type="external" connectionId="3"/>
  <cacheFields count="3">
    <cacheField name="[Table1_3].[Region].[Region]" caption="Region" numFmtId="0" hierarchy="22" level="1">
      <sharedItems count="6">
        <s v="North Central"/>
        <s v="North East"/>
        <s v="North West"/>
        <s v="South East"/>
        <s v="South South"/>
        <s v="South West"/>
      </sharedItems>
    </cacheField>
    <cacheField name="[Measures].[Average of Ransom_Demanded_NGN]" caption="Average of Ransom_Demanded_NGN" numFmtId="0" hierarchy="45" level="32767"/>
    <cacheField name="[Measures].[Average of Ransom_Paid_NGN]" caption="Average of Ransom_Paid_NGN" numFmtId="0" hierarchy="46" level="32767"/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0" memberValueDatatype="130" unbalanced="0"/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0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24700231482" backgroundQuery="1" createdVersion="8" refreshedVersion="8" minRefreshableVersion="3" recordCount="0" supportSubquery="1" supportAdvancedDrill="1" xr:uid="{160C990F-2779-482B-A7BD-C984DDEE3D01}">
  <cacheSource type="external" connectionId="3"/>
  <cacheFields count="2">
    <cacheField name="[Measures].[Count of Incident_ID]" caption="Count of Incident_ID" numFmtId="0" hierarchy="38" level="32767"/>
    <cacheField name="[Table1_3].[Region].[Region]" caption="Region" numFmtId="0" hierarchy="22" level="1">
      <sharedItems count="6">
        <s v="North Central"/>
        <s v="North East"/>
        <s v="North West"/>
        <s v="South East"/>
        <s v="South South"/>
        <s v="South West"/>
      </sharedItems>
    </cacheField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0" memberValueDatatype="130" unbalanced="0"/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0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2" memberValueDatatype="130" unbalanced="0">
      <fieldsUsage count="2">
        <fieldUsage x="-1"/>
        <fieldUsage x="1"/>
      </fieldsUsage>
    </cacheHierarchy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293586111111" backgroundQuery="1" createdVersion="8" refreshedVersion="8" minRefreshableVersion="3" recordCount="0" supportSubquery="1" supportAdvancedDrill="1" xr:uid="{A0051B68-0F1E-4959-908F-8D6D5F557762}">
  <cacheSource type="external" connectionId="3"/>
  <cacheFields count="2">
    <cacheField name="[Measures].[Count of Incident_ID]" caption="Count of Incident_ID" numFmtId="0" hierarchy="38" level="32767"/>
    <cacheField name="[Table1_3].[Urban_Rural].[Urban_Rural]" caption="Urban_Rural" numFmtId="0" hierarchy="31" level="1">
      <sharedItems count="2">
        <s v="Rural"/>
        <s v="Urban"/>
      </sharedItems>
    </cacheField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0" memberValueDatatype="130" unbalanced="0"/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0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2" memberValueDatatype="130" unbalanced="0">
      <fieldsUsage count="2">
        <fieldUsage x="-1"/>
        <fieldUsage x="1"/>
      </fieldsUsage>
    </cacheHierarchy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4935300926" backgroundQuery="1" createdVersion="8" refreshedVersion="8" minRefreshableVersion="3" recordCount="0" supportSubquery="1" supportAdvancedDrill="1" xr:uid="{AFD135F7-1935-4126-8F57-095A0A84FAF1}">
  <cacheSource type="external" connectionId="3"/>
  <cacheFields count="3">
    <cacheField name="[Table1_3].[Month].[Month]" caption="Month" numFmtId="0" hierarchy="1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Table1_3].[Survival_Flap].[Survival_Flap]" caption="Survival_Flap" numFmtId="0" hierarchy="30" level="1">
      <sharedItems count="3">
        <s v="Alive"/>
        <s v="Dead"/>
        <s v="Unknown"/>
      </sharedItems>
    </cacheField>
    <cacheField name="[Measures].[Sum of Victims_Count]" caption="Sum of Victims_Count" numFmtId="0" hierarchy="39" level="32767"/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2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2" memberValueDatatype="130" unbalanced="0">
      <fieldsUsage count="2">
        <fieldUsage x="-1"/>
        <fieldUsage x="1"/>
      </fieldsUsage>
    </cacheHierarchy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50791319448" backgroundQuery="1" createdVersion="8" refreshedVersion="8" minRefreshableVersion="3" recordCount="0" supportSubquery="1" supportAdvancedDrill="1" xr:uid="{C0163BE4-1FFB-474F-8991-F91D0AF0067B}">
  <cacheSource type="external" connectionId="3"/>
  <cacheFields count="2">
    <cacheField name="[Table1_3].[Month].[Month]" caption="Month" numFmtId="0" hierarchy="1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Victims_Count]" caption="Sum of Victims_Count" numFmtId="0" hierarchy="39" level="32767"/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2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2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51111805554" backgroundQuery="1" createdVersion="8" refreshedVersion="8" minRefreshableVersion="3" recordCount="0" supportSubquery="1" supportAdvancedDrill="1" xr:uid="{598AFA64-89FD-40AB-B59F-444669985DBA}">
  <cacheSource type="external" connectionId="3"/>
  <cacheFields count="2">
    <cacheField name="[Table1_3].[Month].[Month]" caption="Month" numFmtId="0" hierarchy="1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Incident_ID]" caption="Count of Incident_ID" numFmtId="0" hierarchy="38" level="32767"/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2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2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52217245367" backgroundQuery="1" createdVersion="8" refreshedVersion="8" minRefreshableVersion="3" recordCount="0" supportSubquery="1" supportAdvancedDrill="1" xr:uid="{C33B6D80-FC7E-4D17-99FE-96CFDF96AF76}">
  <cacheSource type="external" connectionId="3"/>
  <cacheFields count="3">
    <cacheField name="[Measures].[Count of Incident_ID]" caption="Count of Incident_ID" numFmtId="0" hierarchy="38" level="32767"/>
    <cacheField name="[Table1_3].[Month].[Month]" caption="Month" numFmtId="0" hierarchy="1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Table1_3].[Location_Type].[Location_Type]" caption="Location_Type" numFmtId="0" hierarchy="23" level="1">
      <sharedItems count="7">
        <s v="Farm"/>
        <s v="Market"/>
        <s v="Residential"/>
        <s v="Road"/>
        <s v="School"/>
        <s v="Village"/>
        <s v="Waterway"/>
      </sharedItems>
    </cacheField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2" memberValueDatatype="130" unbalanced="0">
      <fieldsUsage count="2">
        <fieldUsage x="-1"/>
        <fieldUsage x="1"/>
      </fieldsUsage>
    </cacheHierarchy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0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2" memberValueDatatype="130" unbalanced="0">
      <fieldsUsage count="2">
        <fieldUsage x="-1"/>
        <fieldUsage x="2"/>
      </fieldsUsage>
    </cacheHierarchy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28.358597222221" backgroundQuery="1" createdVersion="8" refreshedVersion="8" minRefreshableVersion="3" recordCount="0" supportSubquery="1" supportAdvancedDrill="1" xr:uid="{C93AFECD-C3F8-45CA-B2B1-2675FF6E9295}">
  <cacheSource type="external" connectionId="3"/>
  <cacheFields count="4">
    <cacheField name="[Table1_3].[Month].[Month]" caption="Month" numFmtId="0" hierarchy="1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Table1_3].[Survival_Flap].[Survival_Flap]" caption="Survival_Flap" numFmtId="0" hierarchy="30" level="1">
      <sharedItems count="3">
        <s v="Alive"/>
        <s v="Dead"/>
        <s v="Unknown"/>
      </sharedItems>
    </cacheField>
    <cacheField name="[Measures].[Sum of Victims_Count]" caption="Sum of Victims_Count" numFmtId="0" hierarchy="39" level="32767"/>
    <cacheField name="[Table1_3].[Region].[Region]" caption="Region" numFmtId="0" hierarchy="22" level="1">
      <sharedItems count="6">
        <s v="North Central"/>
        <s v="North East"/>
        <s v="North West"/>
        <s v="South East"/>
        <s v="South South"/>
        <s v="South West"/>
      </sharedItems>
    </cacheField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2" memberValueDatatype="130" unbalanced="0"/>
    <cacheHierarchy uniqueName="[Table1_3].[Region]" caption="Region" attribute="1" defaultMemberUniqueName="[Table1_3].[Region].[All]" allUniqueName="[Table1_3].[Region].[All]" dimensionUniqueName="[Table1_3]" displayFolder="" count="2" memberValueDatatype="130" unbalanced="0">
      <fieldsUsage count="2">
        <fieldUsage x="-1"/>
        <fieldUsage x="3"/>
      </fieldsUsage>
    </cacheHierarchy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2" memberValueDatatype="130" unbalanced="0">
      <fieldsUsage count="2">
        <fieldUsage x="-1"/>
        <fieldUsage x="1"/>
      </fieldsUsage>
    </cacheHierarchy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_USER" refreshedDate="46132.41183391204" backgroundQuery="1" createdVersion="8" refreshedVersion="8" minRefreshableVersion="3" recordCount="0" supportSubquery="1" supportAdvancedDrill="1" xr:uid="{A4694268-353A-41BD-B66B-5A2AE8696EB9}">
  <cacheSource type="external" connectionId="3"/>
  <cacheFields count="2">
    <cacheField name="[Table1_3].[State].[State]" caption="State" numFmtId="0" hierarchy="21" level="1">
      <sharedItems count="13">
        <s v="Abuja"/>
        <s v="Anambra"/>
        <s v="Benue"/>
        <s v="Borno"/>
        <s v="Delta"/>
        <s v="Kaduna"/>
        <s v="Kano"/>
        <s v="Katsina"/>
        <s v="Lagos"/>
        <s v="Ogun"/>
        <s v="Oyo"/>
        <s v="Rivers"/>
        <s v="Zamfara"/>
      </sharedItems>
    </cacheField>
    <cacheField name="[Measures].[Count of Incident_ID]" caption="Count of Incident_ID" numFmtId="0" hierarchy="38" level="32767"/>
  </cacheFields>
  <cacheHierarchies count="48">
    <cacheHierarchy uniqueName="[Table1_2].[Incident_ID]" caption="Incident_ID" attribute="1" defaultMemberUniqueName="[Table1_2].[Incident_ID].[All]" allUniqueName="[Table1_2].[Incident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Table1_2].[State]" caption="State" attribute="1" defaultMemberUniqueName="[Table1_2].[State].[All]" allUniqueName="[Table1_2].[State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Location_Type]" caption="Location_Type" attribute="1" defaultMemberUniqueName="[Table1_2].[Location_Type].[All]" allUniqueName="[Table1_2].[Location_Type].[All]" dimensionUniqueName="[Table1_2]" displayFolder="" count="0" memberValueDatatype="130" unbalanced="0"/>
    <cacheHierarchy uniqueName="[Table1_2].[Victims_Count]" caption="Victims_Count" attribute="1" defaultMemberUniqueName="[Table1_2].[Victims_Count].[All]" allUniqueName="[Table1_2].[Victims_Count].[All]" dimensionUniqueName="[Table1_2]" displayFolder="" count="0" memberValueDatatype="20" unbalanced="0"/>
    <cacheHierarchy uniqueName="[Table1_2].[Ransom_Demanded_NGN]" caption="Ransom_Demanded_NGN" attribute="1" defaultMemberUniqueName="[Table1_2].[Ransom_Demanded_NGN].[All]" allUniqueName="[Table1_2].[Ransom_Demanded_NGN].[All]" dimensionUniqueName="[Table1_2]" displayFolder="" count="0" memberValueDatatype="5" unbalanced="0"/>
    <cacheHierarchy uniqueName="[Table1_2].[Ransom_Paid_NGN]" caption="Ransom_Paid_NGN" attribute="1" defaultMemberUniqueName="[Table1_2].[Ransom_Paid_NGN].[All]" allUniqueName="[Table1_2].[Ransom_Paid_NGN].[All]" dimensionUniqueName="[Table1_2]" displayFolder="" count="0" memberValueDatatype="5" unbalanced="0"/>
    <cacheHierarchy uniqueName="[Table1_2].[Ransom_gap]" caption="Ransom_gap" attribute="1" defaultMemberUniqueName="[Table1_2].[Ransom_gap].[All]" allUniqueName="[Table1_2].[Ransom_gap].[All]" dimensionUniqueName="[Table1_2]" displayFolder="" count="0" memberValueDatatype="20" unbalanced="0"/>
    <cacheHierarchy uniqueName="[Table1_2].[Outcome]" caption="Outcome" attribute="1" defaultMemberUniqueName="[Table1_2].[Outcome].[All]" allUniqueName="[Table1_2].[Outcome].[All]" dimensionUniqueName="[Table1_2]" displayFolder="" count="0" memberValueDatatype="130" unbalanced="0"/>
    <cacheHierarchy uniqueName="[Table1_2].[Security_Response]" caption="Security_Response" attribute="1" defaultMemberUniqueName="[Table1_2].[Security_Response].[All]" allUniqueName="[Table1_2].[Security_Response].[All]" dimensionUniqueName="[Table1_2]" displayFolder="" count="0" memberValueDatatype="130" unbalanced="0"/>
    <cacheHierarchy uniqueName="[Table1_2].[Survival_Flap]" caption="Survival_Flap" attribute="1" defaultMemberUniqueName="[Table1_2].[Survival_Flap].[All]" allUniqueName="[Table1_2].[Survival_Flap].[All]" dimensionUniqueName="[Table1_2]" displayFolder="" count="0" memberValueDatatype="130" unbalanced="0"/>
    <cacheHierarchy uniqueName="[Table1_2].[Urban_Rural]" caption="Urban_Rural" attribute="1" defaultMemberUniqueName="[Table1_2].[Urban_Rural].[All]" allUniqueName="[Table1_2].[Urban_Rural].[All]" dimensionUniqueName="[Table1_2]" displayFolder="" count="0" memberValueDatatype="130" unbalanced="0"/>
    <cacheHierarchy uniqueName="[Table1_2].[Latitude]" caption="Latitude" attribute="1" defaultMemberUniqueName="[Table1_2].[Latitude].[All]" allUniqueName="[Table1_2].[Latitude].[All]" dimensionUniqueName="[Table1_2]" displayFolder="" count="0" memberValueDatatype="5" unbalanced="0"/>
    <cacheHierarchy uniqueName="[Table1_2].[Longitude]" caption="Longitude" attribute="1" defaultMemberUniqueName="[Table1_2].[Longitude].[All]" allUniqueName="[Table1_2].[Longitude].[All]" dimensionUniqueName="[Table1_2]" displayFolder="" count="0" memberValueDatatype="5" unbalanced="0"/>
    <cacheHierarchy uniqueName="[Table1_3].[Incident_ID]" caption="Incident_ID" attribute="1" defaultMemberUniqueName="[Table1_3].[Incident_ID].[All]" allUniqueName="[Table1_3].[Incident_ID].[All]" dimensionUniqueName="[Table1_3]" displayFolder="" count="0" memberValueDatatype="130" unbalanced="0"/>
    <cacheHierarchy uniqueName="[Table1_3].[Date]" caption="Date" attribute="1" time="1" defaultMemberUniqueName="[Table1_3].[Date].[All]" allUniqueName="[Table1_3].[Date].[All]" dimensionUniqueName="[Table1_3]" displayFolder="" count="0" memberValueDatatype="7" unbalanced="0"/>
    <cacheHierarchy uniqueName="[Table1_3].[Month]" caption="Month" attribute="1" defaultMemberUniqueName="[Table1_3].[Month].[All]" allUniqueName="[Table1_3].[Month].[All]" dimensionUniqueName="[Table1_3]" displayFolder="" count="0" memberValueDatatype="130" unbalanced="0"/>
    <cacheHierarchy uniqueName="[Table1_3].[Year]" caption="Year" attribute="1" defaultMemberUniqueName="[Table1_3].[Year].[All]" allUniqueName="[Table1_3].[Year].[All]" dimensionUniqueName="[Table1_3]" displayFolder="" count="0" memberValueDatatype="20" unbalanced="0"/>
    <cacheHierarchy uniqueName="[Table1_3].[State]" caption="State" attribute="1" defaultMemberUniqueName="[Table1_3].[State].[All]" allUniqueName="[Table1_3].[State].[All]" dimensionUniqueName="[Table1_3]" displayFolder="" count="2" memberValueDatatype="130" unbalanced="0">
      <fieldsUsage count="2">
        <fieldUsage x="-1"/>
        <fieldUsage x="0"/>
      </fieldsUsage>
    </cacheHierarchy>
    <cacheHierarchy uniqueName="[Table1_3].[Region]" caption="Region" attribute="1" defaultMemberUniqueName="[Table1_3].[Region].[All]" allUniqueName="[Table1_3].[Region].[All]" dimensionUniqueName="[Table1_3]" displayFolder="" count="0" memberValueDatatype="130" unbalanced="0"/>
    <cacheHierarchy uniqueName="[Table1_3].[Location_Type]" caption="Location_Type" attribute="1" defaultMemberUniqueName="[Table1_3].[Location_Type].[All]" allUniqueName="[Table1_3].[Location_Type].[All]" dimensionUniqueName="[Table1_3]" displayFolder="" count="0" memberValueDatatype="130" unbalanced="0"/>
    <cacheHierarchy uniqueName="[Table1_3].[Victims_Count]" caption="Victims_Count" attribute="1" defaultMemberUniqueName="[Table1_3].[Victims_Count].[All]" allUniqueName="[Table1_3].[Victims_Count].[All]" dimensionUniqueName="[Table1_3]" displayFolder="" count="0" memberValueDatatype="20" unbalanced="0"/>
    <cacheHierarchy uniqueName="[Table1_3].[Ransom_Demanded_NGN]" caption="Ransom_Demanded_NGN" attribute="1" defaultMemberUniqueName="[Table1_3].[Ransom_Demanded_NGN].[All]" allUniqueName="[Table1_3].[Ransom_Demanded_NGN].[All]" dimensionUniqueName="[Table1_3]" displayFolder="" count="0" memberValueDatatype="20" unbalanced="0"/>
    <cacheHierarchy uniqueName="[Table1_3].[Ransom_Paid_NGN]" caption="Ransom_Paid_NGN" attribute="1" defaultMemberUniqueName="[Table1_3].[Ransom_Paid_NGN].[All]" allUniqueName="[Table1_3].[Ransom_Paid_NGN].[All]" dimensionUniqueName="[Table1_3]" displayFolder="" count="0" memberValueDatatype="20" unbalanced="0"/>
    <cacheHierarchy uniqueName="[Table1_3].[Ransom_gap]" caption="Ransom_gap" attribute="1" defaultMemberUniqueName="[Table1_3].[Ransom_gap].[All]" allUniqueName="[Table1_3].[Ransom_gap].[All]" dimensionUniqueName="[Table1_3]" displayFolder="" count="0" memberValueDatatype="20" unbalanced="0"/>
    <cacheHierarchy uniqueName="[Table1_3].[Outcome]" caption="Outcome" attribute="1" defaultMemberUniqueName="[Table1_3].[Outcome].[All]" allUniqueName="[Table1_3].[Outcome].[All]" dimensionUniqueName="[Table1_3]" displayFolder="" count="0" memberValueDatatype="130" unbalanced="0"/>
    <cacheHierarchy uniqueName="[Table1_3].[Security_Response]" caption="Security_Response" attribute="1" defaultMemberUniqueName="[Table1_3].[Security_Response].[All]" allUniqueName="[Table1_3].[Security_Response].[All]" dimensionUniqueName="[Table1_3]" displayFolder="" count="0" memberValueDatatype="130" unbalanced="0"/>
    <cacheHierarchy uniqueName="[Table1_3].[Survival_Flap]" caption="Survival_Flap" attribute="1" defaultMemberUniqueName="[Table1_3].[Survival_Flap].[All]" allUniqueName="[Table1_3].[Survival_Flap].[All]" dimensionUniqueName="[Table1_3]" displayFolder="" count="0" memberValueDatatype="130" unbalanced="0"/>
    <cacheHierarchy uniqueName="[Table1_3].[Urban_Rural]" caption="Urban_Rural" attribute="1" defaultMemberUniqueName="[Table1_3].[Urban_Rural].[All]" allUniqueName="[Table1_3].[Urban_Rural].[All]" dimensionUniqueName="[Table1_3]" displayFolder="" count="0" memberValueDatatype="130" unbalanced="0"/>
    <cacheHierarchy uniqueName="[Table1_3].[Latitude]" caption="Latitude" attribute="1" defaultMemberUniqueName="[Table1_3].[Latitude].[All]" allUniqueName="[Table1_3].[Latitude].[All]" dimensionUniqueName="[Table1_3]" displayFolder="" count="0" memberValueDatatype="5" unbalanced="0"/>
    <cacheHierarchy uniqueName="[Table1_3].[Longitude]" caption="Longitude" attribute="1" defaultMemberUniqueName="[Table1_3].[Longitude].[All]" allUniqueName="[Table1_3].[Longitude].[All]" dimensionUniqueName="[Table1_3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XL_Count Table1_3]" caption="__XL_Count Table1_3" measure="1" displayFolder="" measureGroup="Table1_3" count="0" hidden="1"/>
    <cacheHierarchy uniqueName="[Measures].[__No measures defined]" caption="__No measures defined" measure="1" displayFolder="" count="0" hidden="1"/>
    <cacheHierarchy uniqueName="[Measures].[Count of State]" caption="Count of State" measure="1" displayFolder="" measureGroup="Table1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Table1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Victims_Count]" caption="Sum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ansom_gap]" caption="Sum of Ransom_gap" measure="1" displayFolder="" measureGroup="Table1_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ansom_Demanded_NGN]" caption="Sum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nsom_Paid_NGN]" caption="Sum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utcome]" caption="Count of Outcome" measure="1" displayFolder="" measureGroup="Table1_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ecurity_Response]" caption="Count of Security_Response" measure="1" displayFolder="" measureGroup="Table1_3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ansom_Demanded_NGN]" caption="Average of Ransom_Demande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Ransom_Paid_NGN]" caption="Average of Ransom_Paid_NGN" measure="1" displayFolder="" measureGroup="Table1_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Victims_Count]" caption="Count of Victims_Count" measure="1" displayFolder="" measureGroup="Table1_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Table1_2" uniqueName="[Table1_2]" caption="Table1_2"/>
    <dimension name="Table1_3" uniqueName="[Table1_3]" caption="Table1_3"/>
  </dimensions>
  <measureGroups count="2">
    <measureGroup name="Table1_2" caption="Table1_2"/>
    <measureGroup name="Table1_3" caption="Table1_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25"/>
  </r>
  <r>
    <x v="1"/>
    <n v="16"/>
  </r>
  <r>
    <x v="2"/>
    <n v="11"/>
  </r>
  <r>
    <x v="3"/>
    <n v="14"/>
  </r>
  <r>
    <x v="4"/>
    <n v="9"/>
  </r>
  <r>
    <x v="5"/>
    <n v="23"/>
  </r>
  <r>
    <x v="6"/>
    <n v="13"/>
  </r>
  <r>
    <x v="7"/>
    <n v="16"/>
  </r>
  <r>
    <x v="8"/>
    <n v="10"/>
  </r>
  <r>
    <x v="9"/>
    <n v="12"/>
  </r>
  <r>
    <x v="10"/>
    <n v="14"/>
  </r>
  <r>
    <x v="11"/>
    <n v="14"/>
  </r>
  <r>
    <x v="12"/>
    <n v="23"/>
  </r>
  <r>
    <x v="13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10B45-EBEE-48C7-BCE9-B7B36758F033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4:B2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Incident_ID" fld="0" subtotal="count" baseField="0" baseItem="0"/>
  </dataFields>
  <chartFormats count="9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515BF-FB2D-4251-AA18-55F51DD3987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2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/>
    </i>
    <i>
      <x v="12"/>
    </i>
    <i>
      <x v="5"/>
    </i>
    <i>
      <x v="1"/>
    </i>
    <i>
      <x v="7"/>
    </i>
    <i>
      <x v="3"/>
    </i>
    <i>
      <x v="11"/>
    </i>
    <i>
      <x v="10"/>
    </i>
    <i>
      <x v="6"/>
    </i>
    <i>
      <x v="9"/>
    </i>
    <i>
      <x v="2"/>
    </i>
    <i>
      <x v="8"/>
    </i>
    <i>
      <x v="4"/>
    </i>
    <i t="grand">
      <x/>
    </i>
  </rowItems>
  <colItems count="1">
    <i/>
  </colItems>
  <dataFields count="1">
    <dataField name="Count of Incident_ID" fld="1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0AD5A-9B2A-4644-85DC-FA8DE4BD73E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33:G47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Incident_ID" fld="1" subtotal="count" baseField="0" baseItem="0"/>
  </dataFields>
  <chartFormats count="2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8C2AB-E0DE-42EF-A73D-53985BFE2762}" name="PivotTable19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52:B60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1"/>
    </i>
    <i>
      <x v="4"/>
    </i>
    <i>
      <x v="3"/>
    </i>
    <i>
      <x/>
    </i>
    <i>
      <x v="6"/>
    </i>
    <i>
      <x v="2"/>
    </i>
    <i>
      <x v="5"/>
    </i>
    <i t="grand">
      <x/>
    </i>
  </rowItems>
  <colItems count="1">
    <i/>
  </colItems>
  <dataFields count="1">
    <dataField name="Count of Incident_ID" fld="0" subtotal="count" baseField="0" baseItem="0"/>
  </dataFields>
  <chartFormats count="1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5CDE3-3222-443A-B160-2C37DF44CBCB}" name="PivotTable2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57:I65" firstHeaderRow="1" firstDataRow="2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ictims_Count" fld="2" baseField="0" baseItem="0"/>
  </dataFields>
  <chartFormats count="3"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Victims_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Victims_Count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ED14D-C4B7-4A0A-B09B-9A1DE75A1CE8}" name="PivotTable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D3:E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cident_ID" fld="0" subtotal="count" baseField="0" baseItem="0"/>
  </dataFields>
  <chartFormats count="7"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CF286-2650-49F7-B140-A90F21B0F49D}" name="PivotTable2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52:J53" firstHeaderRow="1" firstDataRow="1" firstDataCol="0"/>
  <pivotFields count="2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Items count="1">
    <i/>
  </rowItems>
  <colItems count="1">
    <i/>
  </colItems>
  <dataFields count="1">
    <dataField name="Sum of Victims_Count" fld="1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Victims_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Victims_Count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2D374-7A13-4D9B-9989-7EB12C1EF355}" name="PivotTable2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55:J56" firstHeaderRow="1" firstDataRow="1" firstDataCol="0"/>
  <pivotFields count="2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Items count="1">
    <i/>
  </rowItems>
  <colItems count="1">
    <i/>
  </colItems>
  <dataFields count="1">
    <dataField name="Count of Incident_ID" fld="1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Victims_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Victims_Count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02D13-0DEA-46EB-B8E2-EA9B699D30D2}" name="PivotTable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D13:F2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nsom_Demanded_NGN" fld="1" subtotal="average" baseField="0" baseItem="1"/>
    <dataField name="Average of Ransom_Paid_NGN" fld="2" subtotal="average" baseField="0" baseItem="1"/>
  </dataFields>
  <formats count="3">
    <format dxfId="11">
      <pivotArea grandRow="1" outline="0" collapsedLevelsAreSubtotals="1" fieldPosition="0"/>
    </format>
    <format dxfId="10">
      <pivotArea outline="0" collapsedLevelsAreSubtotals="1" fieldPosition="0"/>
    </format>
    <format dxfId="9">
      <pivotArea collapsedLevelsAreSubtotals="1" fieldPosition="0">
        <references count="1">
          <reference field="0" count="0"/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ansom_Demanded_NGN"/>
    <pivotHierarchy dragToData="1" caption="Average of Ransom_Paid_NGN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B383-DC3A-430D-8403-C112D50B642C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24:I30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utcome" fld="1" subtotal="count" baseField="0" baseItem="0"/>
  </dataFields>
  <chartFormats count="8"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2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B8FAA-77E6-4C3B-B12F-BDB7BF17E0A4}" name="PivotTable2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52:I54" firstHeaderRow="1" firstDataRow="2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ictims_Count" fld="2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Victims_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Victims_Count"/>
  </pivotHierarchies>
  <pivotTableStyleInfo name="PivotStyleLight16" showRowHeaders="1" showColHeaders="1" showRowStripes="0" showColStripes="0" showLastColumn="1"/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igeria_kidnapping_dataset grp.xlsx!Table1_3">
        <x15:activeTabTopLevelEntity name="[Table1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40726-3C6D-4A05-AD2E-119F8548D63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5" firstHeaderRow="1" firstDataRow="1" firstDataCol="1"/>
  <pivotFields count="2">
    <pivotField axis="axisRow" showAll="0">
      <items count="15">
        <item x="0"/>
        <item x="1"/>
        <item x="2"/>
        <item x="3"/>
        <item x="4"/>
        <item h="1" x="13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Count of Incident_ID" fld="1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4ECCA8FE-0814-48E5-AD48-0A8D2503EECD}" autoFormatId="16" applyNumberFormats="0" applyBorderFormats="0" applyFontFormats="0" applyPatternFormats="0" applyAlignmentFormats="0" applyWidthHeightFormats="0">
  <queryTableRefresh nextId="18">
    <queryTableFields count="17">
      <queryTableField id="1" name="Incident_ID" tableColumnId="1"/>
      <queryTableField id="2" name="Date" tableColumnId="2"/>
      <queryTableField id="3" name="Month" tableColumnId="3"/>
      <queryTableField id="4" name="Year" tableColumnId="4"/>
      <queryTableField id="5" name="State" tableColumnId="5"/>
      <queryTableField id="6" name="Region" tableColumnId="6"/>
      <queryTableField id="7" name="Location_Type" tableColumnId="7"/>
      <queryTableField id="8" name="Victims_Count" tableColumnId="8"/>
      <queryTableField id="9" name="Ransom_Demanded_NGN" tableColumnId="9"/>
      <queryTableField id="10" name="Ransom_Paid_NGN" tableColumnId="10"/>
      <queryTableField id="11" name="Ransom_gap" tableColumnId="11"/>
      <queryTableField id="12" name="Outcome" tableColumnId="12"/>
      <queryTableField id="13" name="Security_Response" tableColumnId="13"/>
      <queryTableField id="14" name="Survival_Flap" tableColumnId="14"/>
      <queryTableField id="15" name="Urban_Rural" tableColumnId="15"/>
      <queryTableField id="16" name="Latitude" tableColumnId="16"/>
      <queryTableField id="17" name="Longitude" tableColumnId="17"/>
    </queryTableFields>
  </queryTableRefresh>
  <extLst>
    <ext xmlns:x15="http://schemas.microsoft.com/office/spreadsheetml/2010/11/main" uri="{883FBD77-0823-4a55-B5E3-86C4891E6966}">
      <x15:queryTable sourceDataName="Query - Table1_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BAC87-E6E5-476F-BFF5-527EC47823E4}" name="Table1_3" displayName="Table1_3" ref="A1:Q201" tableType="queryTable" totalsRowShown="0">
  <autoFilter ref="A1:Q201" xr:uid="{4A1BAC87-E6E5-476F-BFF5-527EC47823E4}"/>
  <tableColumns count="17">
    <tableColumn id="1" xr3:uid="{9A13DDE5-A9BF-4C8B-8FB5-39B1D1EB6031}" uniqueName="1" name="Incident_ID" queryTableFieldId="1" dataDxfId="8"/>
    <tableColumn id="2" xr3:uid="{15B09650-DF9A-4CC0-8CBF-F83F71D85D1E}" uniqueName="2" name="Date" queryTableFieldId="2" dataDxfId="7"/>
    <tableColumn id="3" xr3:uid="{AE65A083-09AB-4C1C-965A-6A8B43AA8FD4}" uniqueName="3" name="Month" queryTableFieldId="3" dataDxfId="6"/>
    <tableColumn id="4" xr3:uid="{49E91BE9-D7CE-47BB-A88A-F355349F50D2}" uniqueName="4" name="Year" queryTableFieldId="4"/>
    <tableColumn id="5" xr3:uid="{402C3A22-B01E-44B6-94F6-ECBAE41A98FC}" uniqueName="5" name="State" queryTableFieldId="5" dataDxfId="5"/>
    <tableColumn id="6" xr3:uid="{44E6E82C-BB2B-428F-AE4E-94179F2405FD}" uniqueName="6" name="Region" queryTableFieldId="6" dataDxfId="4"/>
    <tableColumn id="7" xr3:uid="{1D646602-D976-4308-8A2B-7DABA9326A14}" uniqueName="7" name="Location_Type" queryTableFieldId="7" dataDxfId="3"/>
    <tableColumn id="8" xr3:uid="{E37C83C1-5982-4058-B473-9281E65749ED}" uniqueName="8" name="Victims_Count" queryTableFieldId="8"/>
    <tableColumn id="9" xr3:uid="{CD42DC13-B75D-4FEF-8324-67FCD551A351}" uniqueName="9" name="Ransom_Demanded_NGN" queryTableFieldId="9"/>
    <tableColumn id="10" xr3:uid="{00B7E2F5-686D-42C2-962E-6342B461030D}" uniqueName="10" name="Ransom_Paid_NGN" queryTableFieldId="10"/>
    <tableColumn id="11" xr3:uid="{8A068B7B-3222-45E6-AB02-A011F6F50AD9}" uniqueName="11" name="Ransom_gap" queryTableFieldId="11"/>
    <tableColumn id="12" xr3:uid="{18AE546E-0EC0-46A7-A67D-0286BC144D8F}" uniqueName="12" name="Outcome" queryTableFieldId="12" dataDxfId="2"/>
    <tableColumn id="13" xr3:uid="{C4389692-3614-429B-900B-A36393519E6E}" uniqueName="13" name="Security_Response" queryTableFieldId="13" dataDxfId="1"/>
    <tableColumn id="14" xr3:uid="{757A770D-D40C-43D3-B1A7-C10AEC68571D}" uniqueName="14" name="Survival_Flap" queryTableFieldId="14"/>
    <tableColumn id="15" xr3:uid="{EBA63084-A6B9-42A0-A951-6E12857E6C96}" uniqueName="15" name="Urban_Rural" queryTableFieldId="15" dataDxfId="0"/>
    <tableColumn id="16" xr3:uid="{A5B78106-AF37-413E-98C2-600341903A76}" uniqueName="16" name="Latitude" queryTableFieldId="16"/>
    <tableColumn id="17" xr3:uid="{E83F5747-AD48-4F79-B5A9-2AC3145C3B23}" uniqueName="17" name="Longitud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D42B-8988-4F0C-B7A1-A17833F9EE31}">
  <dimension ref="A3:R71"/>
  <sheetViews>
    <sheetView tabSelected="1" zoomScale="86" zoomScaleNormal="86"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19.42578125" bestFit="1" customWidth="1"/>
    <col min="3" max="3" width="5" bestFit="1" customWidth="1"/>
    <col min="4" max="4" width="19.7109375" bestFit="1" customWidth="1"/>
    <col min="5" max="5" width="20.7109375" bestFit="1" customWidth="1"/>
    <col min="6" max="6" width="29.140625" bestFit="1" customWidth="1"/>
    <col min="7" max="7" width="14.5703125" customWidth="1"/>
    <col min="8" max="8" width="9.5703125" bestFit="1" customWidth="1"/>
    <col min="9" max="9" width="11.28515625" bestFit="1" customWidth="1"/>
    <col min="10" max="11" width="19.42578125" bestFit="1" customWidth="1"/>
    <col min="12" max="12" width="4.5703125" bestFit="1" customWidth="1"/>
    <col min="13" max="13" width="4.85546875" bestFit="1" customWidth="1"/>
    <col min="14" max="14" width="4.5703125" bestFit="1" customWidth="1"/>
    <col min="15" max="15" width="4" bestFit="1" customWidth="1"/>
    <col min="16" max="16" width="4.28515625" bestFit="1" customWidth="1"/>
    <col min="17" max="17" width="11.28515625" bestFit="1" customWidth="1"/>
    <col min="18" max="18" width="4.28515625" bestFit="1" customWidth="1"/>
    <col min="19" max="19" width="3.85546875" bestFit="1" customWidth="1"/>
    <col min="20" max="20" width="4.5703125" bestFit="1" customWidth="1"/>
    <col min="21" max="21" width="4.85546875" bestFit="1" customWidth="1"/>
    <col min="22" max="22" width="11.28515625" bestFit="1" customWidth="1"/>
  </cols>
  <sheetData>
    <row r="3" spans="1:18" x14ac:dyDescent="0.25">
      <c r="A3" s="2" t="s">
        <v>268</v>
      </c>
      <c r="B3" t="s">
        <v>270</v>
      </c>
      <c r="D3" s="2" t="s">
        <v>268</v>
      </c>
      <c r="E3" t="s">
        <v>270</v>
      </c>
      <c r="N3" s="3" t="s">
        <v>61</v>
      </c>
      <c r="O3">
        <v>25</v>
      </c>
    </row>
    <row r="4" spans="1:18" x14ac:dyDescent="0.25">
      <c r="A4" s="3" t="s">
        <v>61</v>
      </c>
      <c r="B4">
        <v>25</v>
      </c>
      <c r="D4" s="3" t="s">
        <v>28</v>
      </c>
      <c r="E4">
        <v>36</v>
      </c>
      <c r="N4" s="3" t="s">
        <v>14</v>
      </c>
      <c r="O4">
        <v>16</v>
      </c>
    </row>
    <row r="5" spans="1:18" x14ac:dyDescent="0.25">
      <c r="A5" s="3" t="s">
        <v>65</v>
      </c>
      <c r="B5">
        <v>23</v>
      </c>
      <c r="D5" s="3" t="s">
        <v>55</v>
      </c>
      <c r="E5">
        <v>14</v>
      </c>
      <c r="N5" s="3" t="s">
        <v>27</v>
      </c>
      <c r="O5">
        <v>11</v>
      </c>
      <c r="Q5" s="3" t="s">
        <v>28</v>
      </c>
      <c r="R5">
        <v>36</v>
      </c>
    </row>
    <row r="6" spans="1:18" x14ac:dyDescent="0.25">
      <c r="A6" s="3" t="s">
        <v>36</v>
      </c>
      <c r="B6">
        <v>23</v>
      </c>
      <c r="D6" s="3" t="s">
        <v>37</v>
      </c>
      <c r="E6">
        <v>75</v>
      </c>
      <c r="N6" s="3" t="s">
        <v>54</v>
      </c>
      <c r="O6">
        <v>14</v>
      </c>
      <c r="Q6" s="3" t="s">
        <v>55</v>
      </c>
      <c r="R6">
        <v>14</v>
      </c>
    </row>
    <row r="7" spans="1:18" x14ac:dyDescent="0.25">
      <c r="A7" s="3" t="s">
        <v>14</v>
      </c>
      <c r="B7">
        <v>16</v>
      </c>
      <c r="D7" s="3" t="s">
        <v>15</v>
      </c>
      <c r="E7">
        <v>16</v>
      </c>
      <c r="N7" s="3" t="s">
        <v>21</v>
      </c>
      <c r="O7">
        <v>9</v>
      </c>
      <c r="Q7" s="3" t="s">
        <v>37</v>
      </c>
      <c r="R7">
        <v>75</v>
      </c>
    </row>
    <row r="8" spans="1:18" x14ac:dyDescent="0.25">
      <c r="A8" s="3" t="s">
        <v>44</v>
      </c>
      <c r="B8">
        <v>16</v>
      </c>
      <c r="D8" s="3" t="s">
        <v>22</v>
      </c>
      <c r="E8">
        <v>23</v>
      </c>
      <c r="N8" s="3" t="s">
        <v>36</v>
      </c>
      <c r="O8">
        <v>23</v>
      </c>
      <c r="Q8" s="3" t="s">
        <v>15</v>
      </c>
      <c r="R8">
        <v>16</v>
      </c>
    </row>
    <row r="9" spans="1:18" x14ac:dyDescent="0.25">
      <c r="A9" s="3" t="s">
        <v>54</v>
      </c>
      <c r="B9">
        <v>14</v>
      </c>
      <c r="D9" s="3" t="s">
        <v>50</v>
      </c>
      <c r="E9">
        <v>36</v>
      </c>
      <c r="N9" s="3" t="s">
        <v>52</v>
      </c>
      <c r="O9">
        <v>13</v>
      </c>
      <c r="Q9" s="3" t="s">
        <v>22</v>
      </c>
      <c r="R9">
        <v>23</v>
      </c>
    </row>
    <row r="10" spans="1:18" x14ac:dyDescent="0.25">
      <c r="A10" s="3" t="s">
        <v>33</v>
      </c>
      <c r="B10">
        <v>14</v>
      </c>
      <c r="D10" s="3" t="s">
        <v>269</v>
      </c>
      <c r="E10">
        <v>200</v>
      </c>
      <c r="N10" s="3" t="s">
        <v>44</v>
      </c>
      <c r="O10">
        <v>16</v>
      </c>
      <c r="Q10" s="3" t="s">
        <v>50</v>
      </c>
      <c r="R10">
        <v>36</v>
      </c>
    </row>
    <row r="11" spans="1:18" x14ac:dyDescent="0.25">
      <c r="A11" s="3" t="s">
        <v>49</v>
      </c>
      <c r="B11">
        <v>14</v>
      </c>
      <c r="N11" s="3" t="s">
        <v>67</v>
      </c>
      <c r="O11">
        <v>10</v>
      </c>
    </row>
    <row r="12" spans="1:18" x14ac:dyDescent="0.25">
      <c r="A12" s="3" t="s">
        <v>52</v>
      </c>
      <c r="B12">
        <v>13</v>
      </c>
      <c r="N12" s="3" t="s">
        <v>58</v>
      </c>
      <c r="O12">
        <v>12</v>
      </c>
    </row>
    <row r="13" spans="1:18" x14ac:dyDescent="0.25">
      <c r="A13" s="3" t="s">
        <v>58</v>
      </c>
      <c r="B13">
        <v>12</v>
      </c>
      <c r="D13" s="2" t="s">
        <v>268</v>
      </c>
      <c r="E13" t="s">
        <v>274</v>
      </c>
      <c r="F13" t="s">
        <v>275</v>
      </c>
      <c r="N13" s="3" t="s">
        <v>49</v>
      </c>
      <c r="O13">
        <v>14</v>
      </c>
    </row>
    <row r="14" spans="1:18" x14ac:dyDescent="0.25">
      <c r="A14" s="3" t="s">
        <v>27</v>
      </c>
      <c r="B14">
        <v>11</v>
      </c>
      <c r="D14" s="3" t="s">
        <v>28</v>
      </c>
      <c r="E14" s="6">
        <v>38299281.305555552</v>
      </c>
      <c r="F14" s="6">
        <v>21673400.472222224</v>
      </c>
      <c r="H14" s="3" t="s">
        <v>28</v>
      </c>
      <c r="I14" s="6">
        <v>38299281.305555552</v>
      </c>
      <c r="J14" s="6">
        <v>21673400.472222224</v>
      </c>
      <c r="N14" s="3" t="s">
        <v>33</v>
      </c>
      <c r="O14">
        <v>14</v>
      </c>
    </row>
    <row r="15" spans="1:18" x14ac:dyDescent="0.25">
      <c r="A15" s="3" t="s">
        <v>67</v>
      </c>
      <c r="B15">
        <v>10</v>
      </c>
      <c r="D15" s="3" t="s">
        <v>55</v>
      </c>
      <c r="E15" s="6">
        <v>59107514.714285716</v>
      </c>
      <c r="F15" s="6">
        <v>18463770.571428571</v>
      </c>
      <c r="H15" s="3" t="s">
        <v>55</v>
      </c>
      <c r="I15" s="6">
        <v>59107514.714285716</v>
      </c>
      <c r="J15" s="6">
        <v>18463770.571428571</v>
      </c>
      <c r="N15" s="3" t="s">
        <v>65</v>
      </c>
      <c r="O15">
        <v>23</v>
      </c>
    </row>
    <row r="16" spans="1:18" x14ac:dyDescent="0.25">
      <c r="A16" s="3" t="s">
        <v>21</v>
      </c>
      <c r="B16">
        <v>9</v>
      </c>
      <c r="D16" s="3" t="s">
        <v>37</v>
      </c>
      <c r="E16" s="6">
        <v>37960950.826666668</v>
      </c>
      <c r="F16" s="6">
        <v>12623663.48</v>
      </c>
      <c r="H16" s="3" t="s">
        <v>37</v>
      </c>
      <c r="I16" s="6">
        <v>37960950.826666668</v>
      </c>
      <c r="J16" s="6">
        <v>12623663.48</v>
      </c>
    </row>
    <row r="17" spans="1:10" x14ac:dyDescent="0.25">
      <c r="A17" s="3" t="s">
        <v>269</v>
      </c>
      <c r="B17">
        <v>200</v>
      </c>
      <c r="D17" s="3" t="s">
        <v>15</v>
      </c>
      <c r="E17" s="6">
        <v>34256171</v>
      </c>
      <c r="F17" s="6">
        <v>9995479.875</v>
      </c>
      <c r="H17" s="3" t="s">
        <v>15</v>
      </c>
      <c r="I17" s="6">
        <v>34256171</v>
      </c>
      <c r="J17" s="6">
        <v>9995479.875</v>
      </c>
    </row>
    <row r="18" spans="1:10" x14ac:dyDescent="0.25">
      <c r="D18" s="3" t="s">
        <v>22</v>
      </c>
      <c r="E18" s="6">
        <v>32143816.260869566</v>
      </c>
      <c r="F18" s="6">
        <v>20760651.869565219</v>
      </c>
      <c r="H18" s="3" t="s">
        <v>22</v>
      </c>
      <c r="I18" s="6">
        <v>32143816.260869566</v>
      </c>
      <c r="J18" s="6">
        <v>20760651.869565219</v>
      </c>
    </row>
    <row r="19" spans="1:10" x14ac:dyDescent="0.25">
      <c r="D19" s="3" t="s">
        <v>50</v>
      </c>
      <c r="E19" s="6">
        <v>37721681.611111112</v>
      </c>
      <c r="F19" s="6">
        <v>12920803.138888888</v>
      </c>
      <c r="H19" s="3" t="s">
        <v>50</v>
      </c>
      <c r="I19" s="6">
        <v>37721681.611111112</v>
      </c>
      <c r="J19" s="6">
        <v>12920803.138888888</v>
      </c>
    </row>
    <row r="20" spans="1:10" x14ac:dyDescent="0.25">
      <c r="D20" s="3" t="s">
        <v>269</v>
      </c>
      <c r="E20" s="4">
        <v>38493688.465000004</v>
      </c>
      <c r="F20" s="4">
        <v>15440407.75</v>
      </c>
    </row>
    <row r="24" spans="1:10" x14ac:dyDescent="0.25">
      <c r="A24" s="2" t="s">
        <v>268</v>
      </c>
      <c r="B24" t="s">
        <v>270</v>
      </c>
      <c r="D24" s="2" t="s">
        <v>271</v>
      </c>
      <c r="E24" s="2" t="s">
        <v>272</v>
      </c>
    </row>
    <row r="25" spans="1:10" x14ac:dyDescent="0.25">
      <c r="A25" s="3" t="s">
        <v>39</v>
      </c>
      <c r="B25">
        <v>118</v>
      </c>
      <c r="D25" s="2" t="s">
        <v>268</v>
      </c>
      <c r="E25" t="s">
        <v>30</v>
      </c>
      <c r="F25" t="s">
        <v>17</v>
      </c>
      <c r="G25" t="s">
        <v>24</v>
      </c>
      <c r="H25" t="s">
        <v>69</v>
      </c>
      <c r="I25" t="s">
        <v>269</v>
      </c>
    </row>
    <row r="26" spans="1:10" x14ac:dyDescent="0.25">
      <c r="A26" s="3" t="s">
        <v>19</v>
      </c>
      <c r="B26">
        <v>82</v>
      </c>
      <c r="D26" s="3" t="s">
        <v>31</v>
      </c>
      <c r="E26">
        <v>25</v>
      </c>
      <c r="F26">
        <v>10</v>
      </c>
      <c r="G26">
        <v>15</v>
      </c>
      <c r="H26">
        <v>10</v>
      </c>
      <c r="I26">
        <v>60</v>
      </c>
      <c r="J26" s="4"/>
    </row>
    <row r="27" spans="1:10" x14ac:dyDescent="0.25">
      <c r="A27" s="3" t="s">
        <v>269</v>
      </c>
      <c r="B27">
        <v>200</v>
      </c>
      <c r="D27" s="3" t="s">
        <v>25</v>
      </c>
      <c r="E27">
        <v>8</v>
      </c>
      <c r="F27">
        <v>21</v>
      </c>
      <c r="G27">
        <v>16</v>
      </c>
      <c r="H27">
        <v>9</v>
      </c>
      <c r="I27">
        <v>54</v>
      </c>
    </row>
    <row r="28" spans="1:10" x14ac:dyDescent="0.25">
      <c r="D28" s="3" t="s">
        <v>34</v>
      </c>
      <c r="E28">
        <v>7</v>
      </c>
      <c r="F28">
        <v>5</v>
      </c>
      <c r="G28">
        <v>10</v>
      </c>
      <c r="H28">
        <v>16</v>
      </c>
      <c r="I28">
        <v>38</v>
      </c>
    </row>
    <row r="29" spans="1:10" x14ac:dyDescent="0.25">
      <c r="D29" s="3" t="s">
        <v>18</v>
      </c>
      <c r="E29">
        <v>16</v>
      </c>
      <c r="F29">
        <v>14</v>
      </c>
      <c r="G29">
        <v>13</v>
      </c>
      <c r="H29">
        <v>5</v>
      </c>
      <c r="I29">
        <v>48</v>
      </c>
    </row>
    <row r="30" spans="1:10" x14ac:dyDescent="0.25">
      <c r="D30" s="3" t="s">
        <v>269</v>
      </c>
      <c r="E30">
        <v>56</v>
      </c>
      <c r="F30">
        <v>50</v>
      </c>
      <c r="G30">
        <v>54</v>
      </c>
      <c r="H30">
        <v>40</v>
      </c>
      <c r="I30">
        <v>200</v>
      </c>
    </row>
    <row r="33" spans="4:13" x14ac:dyDescent="0.25">
      <c r="D33" s="2" t="s">
        <v>270</v>
      </c>
      <c r="E33" s="2" t="s">
        <v>272</v>
      </c>
    </row>
    <row r="34" spans="4:13" x14ac:dyDescent="0.25">
      <c r="D34" s="2" t="s">
        <v>268</v>
      </c>
      <c r="E34">
        <v>2023</v>
      </c>
      <c r="F34">
        <v>2024</v>
      </c>
      <c r="G34" t="s">
        <v>269</v>
      </c>
    </row>
    <row r="35" spans="4:13" x14ac:dyDescent="0.25">
      <c r="D35" s="3" t="s">
        <v>253</v>
      </c>
      <c r="E35">
        <v>15</v>
      </c>
      <c r="F35">
        <v>15</v>
      </c>
      <c r="G35">
        <v>30</v>
      </c>
      <c r="I35" s="3" t="s">
        <v>31</v>
      </c>
      <c r="J35">
        <v>25</v>
      </c>
      <c r="K35">
        <v>10</v>
      </c>
      <c r="L35">
        <v>15</v>
      </c>
      <c r="M35">
        <v>10</v>
      </c>
    </row>
    <row r="36" spans="4:13" x14ac:dyDescent="0.25">
      <c r="D36" s="3" t="s">
        <v>255</v>
      </c>
      <c r="E36">
        <v>12</v>
      </c>
      <c r="F36">
        <v>12</v>
      </c>
      <c r="G36">
        <v>24</v>
      </c>
      <c r="I36" s="3" t="s">
        <v>25</v>
      </c>
      <c r="J36">
        <v>8</v>
      </c>
      <c r="K36">
        <v>21</v>
      </c>
      <c r="L36">
        <v>16</v>
      </c>
      <c r="M36">
        <v>9</v>
      </c>
    </row>
    <row r="37" spans="4:13" x14ac:dyDescent="0.25">
      <c r="D37" s="3" t="s">
        <v>256</v>
      </c>
      <c r="E37">
        <v>18</v>
      </c>
      <c r="F37">
        <v>10</v>
      </c>
      <c r="G37">
        <v>28</v>
      </c>
      <c r="I37" s="3" t="s">
        <v>34</v>
      </c>
      <c r="J37">
        <v>7</v>
      </c>
      <c r="K37">
        <v>5</v>
      </c>
      <c r="L37">
        <v>10</v>
      </c>
      <c r="M37">
        <v>16</v>
      </c>
    </row>
    <row r="38" spans="4:13" x14ac:dyDescent="0.25">
      <c r="D38" s="3" t="s">
        <v>258</v>
      </c>
      <c r="E38">
        <v>7</v>
      </c>
      <c r="F38">
        <v>6</v>
      </c>
      <c r="G38">
        <v>13</v>
      </c>
      <c r="I38" s="3" t="s">
        <v>18</v>
      </c>
      <c r="J38">
        <v>16</v>
      </c>
      <c r="K38">
        <v>14</v>
      </c>
      <c r="L38">
        <v>13</v>
      </c>
      <c r="M38">
        <v>5</v>
      </c>
    </row>
    <row r="39" spans="4:13" x14ac:dyDescent="0.25">
      <c r="D39" s="3" t="s">
        <v>259</v>
      </c>
      <c r="E39">
        <v>14</v>
      </c>
      <c r="F39">
        <v>6</v>
      </c>
      <c r="G39">
        <v>20</v>
      </c>
    </row>
    <row r="40" spans="4:13" x14ac:dyDescent="0.25">
      <c r="D40" s="3" t="s">
        <v>252</v>
      </c>
      <c r="E40">
        <v>6</v>
      </c>
      <c r="G40">
        <v>6</v>
      </c>
    </row>
    <row r="41" spans="4:13" x14ac:dyDescent="0.25">
      <c r="D41" s="3" t="s">
        <v>261</v>
      </c>
      <c r="E41">
        <v>10</v>
      </c>
      <c r="G41">
        <v>10</v>
      </c>
    </row>
    <row r="42" spans="4:13" x14ac:dyDescent="0.25">
      <c r="D42" s="3" t="s">
        <v>254</v>
      </c>
      <c r="E42">
        <v>14</v>
      </c>
      <c r="G42">
        <v>14</v>
      </c>
    </row>
    <row r="43" spans="4:13" x14ac:dyDescent="0.25">
      <c r="D43" s="3" t="s">
        <v>257</v>
      </c>
      <c r="E43">
        <v>16</v>
      </c>
      <c r="G43">
        <v>16</v>
      </c>
    </row>
    <row r="44" spans="4:13" x14ac:dyDescent="0.25">
      <c r="D44" s="3" t="s">
        <v>251</v>
      </c>
      <c r="E44">
        <v>13</v>
      </c>
      <c r="G44">
        <v>13</v>
      </c>
    </row>
    <row r="45" spans="4:13" x14ac:dyDescent="0.25">
      <c r="D45" s="3" t="s">
        <v>260</v>
      </c>
      <c r="E45">
        <v>11</v>
      </c>
      <c r="G45">
        <v>11</v>
      </c>
    </row>
    <row r="46" spans="4:13" x14ac:dyDescent="0.25">
      <c r="D46" s="3" t="s">
        <v>262</v>
      </c>
      <c r="E46">
        <v>15</v>
      </c>
      <c r="G46">
        <v>15</v>
      </c>
    </row>
    <row r="47" spans="4:13" x14ac:dyDescent="0.25">
      <c r="D47" s="3" t="s">
        <v>269</v>
      </c>
      <c r="E47">
        <v>151</v>
      </c>
      <c r="F47">
        <v>49</v>
      </c>
      <c r="G47">
        <v>200</v>
      </c>
    </row>
    <row r="52" spans="1:14" x14ac:dyDescent="0.25">
      <c r="A52" s="2" t="s">
        <v>268</v>
      </c>
      <c r="B52" t="s">
        <v>270</v>
      </c>
      <c r="F52" s="2" t="s">
        <v>272</v>
      </c>
      <c r="J52" t="s">
        <v>276</v>
      </c>
    </row>
    <row r="53" spans="1:14" x14ac:dyDescent="0.25">
      <c r="A53" s="3" t="s">
        <v>29</v>
      </c>
      <c r="B53">
        <v>34</v>
      </c>
      <c r="F53" t="s">
        <v>265</v>
      </c>
      <c r="G53" t="s">
        <v>267</v>
      </c>
      <c r="H53" t="s">
        <v>266</v>
      </c>
      <c r="I53" t="s">
        <v>269</v>
      </c>
      <c r="J53">
        <v>4134</v>
      </c>
    </row>
    <row r="54" spans="1:14" x14ac:dyDescent="0.25">
      <c r="A54" s="3" t="s">
        <v>23</v>
      </c>
      <c r="B54">
        <v>33</v>
      </c>
      <c r="E54" t="s">
        <v>276</v>
      </c>
      <c r="F54">
        <v>1802</v>
      </c>
      <c r="G54">
        <v>1184</v>
      </c>
      <c r="H54">
        <v>1148</v>
      </c>
      <c r="I54">
        <v>4134</v>
      </c>
    </row>
    <row r="55" spans="1:14" x14ac:dyDescent="0.25">
      <c r="A55" s="3" t="s">
        <v>47</v>
      </c>
      <c r="B55">
        <v>33</v>
      </c>
      <c r="J55" t="s">
        <v>270</v>
      </c>
    </row>
    <row r="56" spans="1:14" x14ac:dyDescent="0.25">
      <c r="A56" s="3" t="s">
        <v>56</v>
      </c>
      <c r="B56">
        <v>27</v>
      </c>
      <c r="J56">
        <v>200</v>
      </c>
    </row>
    <row r="57" spans="1:14" x14ac:dyDescent="0.25">
      <c r="A57" s="3" t="s">
        <v>16</v>
      </c>
      <c r="B57">
        <v>27</v>
      </c>
      <c r="E57" s="2" t="s">
        <v>276</v>
      </c>
      <c r="F57" s="2" t="s">
        <v>272</v>
      </c>
    </row>
    <row r="58" spans="1:14" x14ac:dyDescent="0.25">
      <c r="A58" s="3" t="s">
        <v>42</v>
      </c>
      <c r="B58">
        <v>27</v>
      </c>
      <c r="E58" s="2" t="s">
        <v>268</v>
      </c>
      <c r="F58" t="s">
        <v>265</v>
      </c>
      <c r="G58" t="s">
        <v>267</v>
      </c>
      <c r="H58" t="s">
        <v>266</v>
      </c>
      <c r="I58" t="s">
        <v>269</v>
      </c>
    </row>
    <row r="59" spans="1:14" x14ac:dyDescent="0.25">
      <c r="A59" s="3" t="s">
        <v>38</v>
      </c>
      <c r="B59">
        <v>19</v>
      </c>
      <c r="E59" s="3" t="s">
        <v>28</v>
      </c>
      <c r="F59">
        <v>377</v>
      </c>
      <c r="G59">
        <v>179</v>
      </c>
      <c r="H59">
        <v>255</v>
      </c>
      <c r="I59">
        <v>811</v>
      </c>
      <c r="J59" s="3" t="s">
        <v>61</v>
      </c>
      <c r="K59">
        <v>257</v>
      </c>
      <c r="L59">
        <v>110</v>
      </c>
      <c r="M59">
        <v>182</v>
      </c>
      <c r="N59">
        <v>549</v>
      </c>
    </row>
    <row r="60" spans="1:14" x14ac:dyDescent="0.25">
      <c r="A60" s="3" t="s">
        <v>269</v>
      </c>
      <c r="B60">
        <v>200</v>
      </c>
      <c r="E60" s="3" t="s">
        <v>55</v>
      </c>
      <c r="F60">
        <v>98</v>
      </c>
      <c r="G60">
        <v>155</v>
      </c>
      <c r="H60">
        <v>94</v>
      </c>
      <c r="I60">
        <v>347</v>
      </c>
      <c r="J60" s="3" t="s">
        <v>14</v>
      </c>
      <c r="K60">
        <v>83</v>
      </c>
      <c r="L60">
        <v>85</v>
      </c>
      <c r="M60">
        <v>158</v>
      </c>
      <c r="N60">
        <v>326</v>
      </c>
    </row>
    <row r="61" spans="1:14" x14ac:dyDescent="0.25">
      <c r="E61" s="3" t="s">
        <v>37</v>
      </c>
      <c r="F61">
        <v>699</v>
      </c>
      <c r="G61">
        <v>428</v>
      </c>
      <c r="H61">
        <v>317</v>
      </c>
      <c r="I61">
        <v>1444</v>
      </c>
      <c r="J61" s="3" t="s">
        <v>27</v>
      </c>
      <c r="K61">
        <v>120</v>
      </c>
      <c r="L61">
        <v>69</v>
      </c>
      <c r="M61">
        <v>73</v>
      </c>
      <c r="N61">
        <v>262</v>
      </c>
    </row>
    <row r="62" spans="1:14" x14ac:dyDescent="0.25">
      <c r="E62" s="3" t="s">
        <v>15</v>
      </c>
      <c r="F62">
        <v>83</v>
      </c>
      <c r="G62">
        <v>85</v>
      </c>
      <c r="H62">
        <v>158</v>
      </c>
      <c r="I62">
        <v>326</v>
      </c>
      <c r="J62" s="3" t="s">
        <v>54</v>
      </c>
      <c r="K62">
        <v>98</v>
      </c>
      <c r="L62">
        <v>155</v>
      </c>
      <c r="M62">
        <v>94</v>
      </c>
      <c r="N62">
        <v>347</v>
      </c>
    </row>
    <row r="63" spans="1:14" x14ac:dyDescent="0.25">
      <c r="E63" s="3" t="s">
        <v>22</v>
      </c>
      <c r="F63">
        <v>197</v>
      </c>
      <c r="G63">
        <v>160</v>
      </c>
      <c r="H63">
        <v>156</v>
      </c>
      <c r="I63">
        <v>513</v>
      </c>
      <c r="J63" s="3" t="s">
        <v>21</v>
      </c>
      <c r="K63">
        <v>38</v>
      </c>
      <c r="L63">
        <v>105</v>
      </c>
      <c r="M63">
        <v>52</v>
      </c>
      <c r="N63">
        <v>195</v>
      </c>
    </row>
    <row r="64" spans="1:14" x14ac:dyDescent="0.25">
      <c r="E64" s="3" t="s">
        <v>50</v>
      </c>
      <c r="F64">
        <v>348</v>
      </c>
      <c r="G64">
        <v>177</v>
      </c>
      <c r="H64">
        <v>168</v>
      </c>
      <c r="I64">
        <v>693</v>
      </c>
      <c r="J64" s="3" t="s">
        <v>36</v>
      </c>
      <c r="K64">
        <v>238</v>
      </c>
      <c r="L64">
        <v>122</v>
      </c>
      <c r="M64">
        <v>156</v>
      </c>
      <c r="N64">
        <v>516</v>
      </c>
    </row>
    <row r="65" spans="5:14" x14ac:dyDescent="0.25">
      <c r="E65" s="3" t="s">
        <v>269</v>
      </c>
      <c r="F65">
        <v>1802</v>
      </c>
      <c r="G65">
        <v>1184</v>
      </c>
      <c r="H65">
        <v>1148</v>
      </c>
      <c r="I65">
        <v>4134</v>
      </c>
      <c r="J65" s="3" t="s">
        <v>52</v>
      </c>
      <c r="K65">
        <v>75</v>
      </c>
      <c r="L65">
        <v>123</v>
      </c>
      <c r="M65">
        <v>45</v>
      </c>
      <c r="N65">
        <v>243</v>
      </c>
    </row>
    <row r="66" spans="5:14" x14ac:dyDescent="0.25">
      <c r="J66" s="3" t="s">
        <v>44</v>
      </c>
      <c r="K66">
        <v>119</v>
      </c>
      <c r="L66">
        <v>108</v>
      </c>
      <c r="M66">
        <v>12</v>
      </c>
      <c r="N66">
        <v>239</v>
      </c>
    </row>
    <row r="67" spans="5:14" x14ac:dyDescent="0.25">
      <c r="J67" s="3" t="s">
        <v>67</v>
      </c>
      <c r="K67">
        <v>57</v>
      </c>
      <c r="L67">
        <v>61</v>
      </c>
      <c r="M67">
        <v>47</v>
      </c>
      <c r="N67">
        <v>165</v>
      </c>
    </row>
    <row r="68" spans="5:14" x14ac:dyDescent="0.25">
      <c r="J68" s="3" t="s">
        <v>58</v>
      </c>
      <c r="K68">
        <v>123</v>
      </c>
      <c r="L68">
        <v>62</v>
      </c>
      <c r="M68">
        <v>72</v>
      </c>
      <c r="N68">
        <v>257</v>
      </c>
    </row>
    <row r="69" spans="5:14" x14ac:dyDescent="0.25">
      <c r="J69" s="3" t="s">
        <v>49</v>
      </c>
      <c r="K69">
        <v>168</v>
      </c>
      <c r="L69">
        <v>54</v>
      </c>
      <c r="M69">
        <v>49</v>
      </c>
      <c r="N69">
        <v>271</v>
      </c>
    </row>
    <row r="70" spans="5:14" x14ac:dyDescent="0.25">
      <c r="J70" s="3" t="s">
        <v>33</v>
      </c>
      <c r="K70">
        <v>159</v>
      </c>
      <c r="L70">
        <v>55</v>
      </c>
      <c r="M70">
        <v>104</v>
      </c>
      <c r="N70">
        <v>318</v>
      </c>
    </row>
    <row r="71" spans="5:14" x14ac:dyDescent="0.25">
      <c r="J71" s="3" t="s">
        <v>65</v>
      </c>
      <c r="K71">
        <v>267</v>
      </c>
      <c r="L71">
        <v>75</v>
      </c>
      <c r="M71">
        <v>104</v>
      </c>
      <c r="N71"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AD28-918F-4B9F-BE0E-64B30A524BE1}">
  <dimension ref="A1:Q201"/>
  <sheetViews>
    <sheetView topLeftCell="D1" workbookViewId="0">
      <selection activeCell="K1" sqref="K1:K1048576"/>
    </sheetView>
  </sheetViews>
  <sheetFormatPr defaultRowHeight="15" x14ac:dyDescent="0.25"/>
  <cols>
    <col min="1" max="1" width="13.42578125" bestFit="1" customWidth="1"/>
    <col min="2" max="2" width="14.85546875" bestFit="1" customWidth="1"/>
    <col min="3" max="3" width="9.28515625" bestFit="1" customWidth="1"/>
    <col min="4" max="4" width="7.28515625" bestFit="1" customWidth="1"/>
    <col min="5" max="5" width="9" bestFit="1" customWidth="1"/>
    <col min="6" max="6" width="13.140625" bestFit="1" customWidth="1"/>
    <col min="7" max="7" width="16.140625" bestFit="1" customWidth="1"/>
    <col min="8" max="8" width="16.28515625" bestFit="1" customWidth="1"/>
    <col min="9" max="9" width="26.7109375" bestFit="1" customWidth="1"/>
    <col min="10" max="10" width="20.7109375" bestFit="1" customWidth="1"/>
    <col min="11" max="11" width="14.42578125" bestFit="1" customWidth="1"/>
    <col min="12" max="12" width="11.42578125" bestFit="1" customWidth="1"/>
    <col min="13" max="13" width="20.28515625" bestFit="1" customWidth="1"/>
    <col min="14" max="14" width="15" bestFit="1" customWidth="1"/>
    <col min="15" max="15" width="14.28515625" bestFit="1" customWidth="1"/>
    <col min="16" max="16" width="10.5703125" bestFit="1" customWidth="1"/>
    <col min="17" max="17" width="12.140625" bestFit="1" customWidth="1"/>
  </cols>
  <sheetData>
    <row r="1" spans="1:17" x14ac:dyDescent="0.25">
      <c r="A1" t="s">
        <v>0</v>
      </c>
      <c r="B1" t="s">
        <v>1</v>
      </c>
      <c r="C1" t="s">
        <v>249</v>
      </c>
      <c r="D1" t="s">
        <v>250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263</v>
      </c>
      <c r="L1" t="s">
        <v>8</v>
      </c>
      <c r="M1" t="s">
        <v>9</v>
      </c>
      <c r="N1" t="s">
        <v>264</v>
      </c>
      <c r="O1" t="s">
        <v>10</v>
      </c>
      <c r="P1" t="s">
        <v>11</v>
      </c>
      <c r="Q1" t="s">
        <v>12</v>
      </c>
    </row>
    <row r="2" spans="1:17" x14ac:dyDescent="0.25">
      <c r="A2" t="s">
        <v>46</v>
      </c>
      <c r="B2" s="1">
        <v>45072</v>
      </c>
      <c r="C2" t="s">
        <v>259</v>
      </c>
      <c r="D2">
        <v>2023</v>
      </c>
      <c r="E2" t="s">
        <v>33</v>
      </c>
      <c r="F2" t="s">
        <v>22</v>
      </c>
      <c r="G2" t="s">
        <v>47</v>
      </c>
      <c r="H2">
        <v>36</v>
      </c>
      <c r="I2">
        <v>0</v>
      </c>
      <c r="J2">
        <v>0</v>
      </c>
      <c r="K2">
        <v>0</v>
      </c>
      <c r="L2" t="s">
        <v>30</v>
      </c>
      <c r="M2" t="s">
        <v>31</v>
      </c>
      <c r="N2" t="s">
        <v>265</v>
      </c>
      <c r="O2" t="s">
        <v>39</v>
      </c>
      <c r="P2">
        <v>4.75</v>
      </c>
      <c r="Q2">
        <v>7.01</v>
      </c>
    </row>
    <row r="3" spans="1:17" x14ac:dyDescent="0.25">
      <c r="A3" t="s">
        <v>51</v>
      </c>
      <c r="B3" s="1">
        <v>44948</v>
      </c>
      <c r="C3" t="s">
        <v>253</v>
      </c>
      <c r="D3">
        <v>2023</v>
      </c>
      <c r="E3" t="s">
        <v>52</v>
      </c>
      <c r="F3" t="s">
        <v>37</v>
      </c>
      <c r="G3" t="s">
        <v>42</v>
      </c>
      <c r="H3">
        <v>9</v>
      </c>
      <c r="I3">
        <v>0</v>
      </c>
      <c r="J3">
        <v>0</v>
      </c>
      <c r="K3">
        <v>0</v>
      </c>
      <c r="L3" t="s">
        <v>17</v>
      </c>
      <c r="M3" t="s">
        <v>18</v>
      </c>
      <c r="N3" t="s">
        <v>266</v>
      </c>
      <c r="O3" t="s">
        <v>39</v>
      </c>
      <c r="P3">
        <v>12</v>
      </c>
      <c r="Q3">
        <v>8.52</v>
      </c>
    </row>
    <row r="4" spans="1:17" x14ac:dyDescent="0.25">
      <c r="A4" t="s">
        <v>59</v>
      </c>
      <c r="B4" s="1">
        <v>45121</v>
      </c>
      <c r="C4" t="s">
        <v>261</v>
      </c>
      <c r="D4">
        <v>2023</v>
      </c>
      <c r="E4" t="s">
        <v>36</v>
      </c>
      <c r="F4" t="s">
        <v>37</v>
      </c>
      <c r="G4" t="s">
        <v>16</v>
      </c>
      <c r="H4">
        <v>37</v>
      </c>
      <c r="I4">
        <v>0</v>
      </c>
      <c r="J4">
        <v>0</v>
      </c>
      <c r="K4">
        <v>0</v>
      </c>
      <c r="L4" t="s">
        <v>24</v>
      </c>
      <c r="M4" t="s">
        <v>34</v>
      </c>
      <c r="N4" t="s">
        <v>267</v>
      </c>
      <c r="O4" t="s">
        <v>19</v>
      </c>
      <c r="P4">
        <v>10.52</v>
      </c>
      <c r="Q4">
        <v>7.44</v>
      </c>
    </row>
    <row r="5" spans="1:17" x14ac:dyDescent="0.25">
      <c r="A5" t="s">
        <v>70</v>
      </c>
      <c r="B5" s="1">
        <v>44964</v>
      </c>
      <c r="C5" t="s">
        <v>255</v>
      </c>
      <c r="D5">
        <v>2023</v>
      </c>
      <c r="E5" t="s">
        <v>44</v>
      </c>
      <c r="F5" t="s">
        <v>37</v>
      </c>
      <c r="G5" t="s">
        <v>38</v>
      </c>
      <c r="H5">
        <v>12</v>
      </c>
      <c r="I5">
        <v>0</v>
      </c>
      <c r="J5">
        <v>0</v>
      </c>
      <c r="K5">
        <v>0</v>
      </c>
      <c r="L5" t="s">
        <v>17</v>
      </c>
      <c r="M5" t="s">
        <v>18</v>
      </c>
      <c r="N5" t="s">
        <v>266</v>
      </c>
      <c r="O5" t="s">
        <v>19</v>
      </c>
      <c r="P5">
        <v>12.99</v>
      </c>
      <c r="Q5">
        <v>7.6</v>
      </c>
    </row>
    <row r="6" spans="1:17" x14ac:dyDescent="0.25">
      <c r="A6" t="s">
        <v>78</v>
      </c>
      <c r="B6" s="1">
        <v>45392</v>
      </c>
      <c r="C6" t="s">
        <v>258</v>
      </c>
      <c r="D6">
        <v>2024</v>
      </c>
      <c r="E6" t="s">
        <v>14</v>
      </c>
      <c r="F6" t="s">
        <v>15</v>
      </c>
      <c r="G6" t="s">
        <v>42</v>
      </c>
      <c r="H6">
        <v>20</v>
      </c>
      <c r="I6">
        <v>0</v>
      </c>
      <c r="J6">
        <v>0</v>
      </c>
      <c r="K6">
        <v>0</v>
      </c>
      <c r="L6" t="s">
        <v>30</v>
      </c>
      <c r="M6" t="s">
        <v>31</v>
      </c>
      <c r="N6" t="s">
        <v>265</v>
      </c>
      <c r="O6" t="s">
        <v>39</v>
      </c>
      <c r="P6">
        <v>6.21</v>
      </c>
      <c r="Q6">
        <v>7.07</v>
      </c>
    </row>
    <row r="7" spans="1:17" x14ac:dyDescent="0.25">
      <c r="A7" t="s">
        <v>81</v>
      </c>
      <c r="B7" s="1">
        <v>45262</v>
      </c>
      <c r="C7" t="s">
        <v>262</v>
      </c>
      <c r="D7">
        <v>2023</v>
      </c>
      <c r="E7" t="s">
        <v>36</v>
      </c>
      <c r="F7" t="s">
        <v>37</v>
      </c>
      <c r="G7" t="s">
        <v>23</v>
      </c>
      <c r="H7">
        <v>20</v>
      </c>
      <c r="I7">
        <v>0</v>
      </c>
      <c r="J7">
        <v>0</v>
      </c>
      <c r="K7">
        <v>0</v>
      </c>
      <c r="L7" t="s">
        <v>30</v>
      </c>
      <c r="M7" t="s">
        <v>18</v>
      </c>
      <c r="N7" t="s">
        <v>265</v>
      </c>
      <c r="O7" t="s">
        <v>19</v>
      </c>
      <c r="P7">
        <v>10.52</v>
      </c>
      <c r="Q7">
        <v>7.44</v>
      </c>
    </row>
    <row r="8" spans="1:17" x14ac:dyDescent="0.25">
      <c r="A8" t="s">
        <v>84</v>
      </c>
      <c r="B8" s="1">
        <v>45016</v>
      </c>
      <c r="C8" t="s">
        <v>256</v>
      </c>
      <c r="D8">
        <v>2023</v>
      </c>
      <c r="E8" t="s">
        <v>36</v>
      </c>
      <c r="F8" t="s">
        <v>37</v>
      </c>
      <c r="G8" t="s">
        <v>47</v>
      </c>
      <c r="H8">
        <v>36</v>
      </c>
      <c r="I8">
        <v>0</v>
      </c>
      <c r="J8">
        <v>0</v>
      </c>
      <c r="K8">
        <v>0</v>
      </c>
      <c r="L8" t="s">
        <v>30</v>
      </c>
      <c r="M8" t="s">
        <v>18</v>
      </c>
      <c r="N8" t="s">
        <v>265</v>
      </c>
      <c r="O8" t="s">
        <v>39</v>
      </c>
      <c r="P8">
        <v>10.52</v>
      </c>
      <c r="Q8">
        <v>7.44</v>
      </c>
    </row>
    <row r="9" spans="1:17" x14ac:dyDescent="0.25">
      <c r="A9" t="s">
        <v>90</v>
      </c>
      <c r="B9" s="1">
        <v>45072</v>
      </c>
      <c r="C9" t="s">
        <v>259</v>
      </c>
      <c r="D9">
        <v>2023</v>
      </c>
      <c r="E9" t="s">
        <v>67</v>
      </c>
      <c r="F9" t="s">
        <v>50</v>
      </c>
      <c r="G9" t="s">
        <v>23</v>
      </c>
      <c r="H9">
        <v>34</v>
      </c>
      <c r="I9">
        <v>0</v>
      </c>
      <c r="J9">
        <v>0</v>
      </c>
      <c r="K9">
        <v>0</v>
      </c>
      <c r="L9" t="s">
        <v>17</v>
      </c>
      <c r="M9" t="s">
        <v>25</v>
      </c>
      <c r="N9" t="s">
        <v>266</v>
      </c>
      <c r="O9" t="s">
        <v>39</v>
      </c>
      <c r="P9">
        <v>6.52</v>
      </c>
      <c r="Q9">
        <v>3.37</v>
      </c>
    </row>
    <row r="10" spans="1:17" x14ac:dyDescent="0.25">
      <c r="A10" t="s">
        <v>91</v>
      </c>
      <c r="B10" s="1">
        <v>45009</v>
      </c>
      <c r="C10" t="s">
        <v>256</v>
      </c>
      <c r="D10">
        <v>2023</v>
      </c>
      <c r="E10" t="s">
        <v>65</v>
      </c>
      <c r="F10" t="s">
        <v>37</v>
      </c>
      <c r="G10" t="s">
        <v>23</v>
      </c>
      <c r="H10">
        <v>5</v>
      </c>
      <c r="I10">
        <v>0</v>
      </c>
      <c r="J10">
        <v>0</v>
      </c>
      <c r="K10">
        <v>0</v>
      </c>
      <c r="L10" t="s">
        <v>24</v>
      </c>
      <c r="M10" t="s">
        <v>18</v>
      </c>
      <c r="N10" t="s">
        <v>267</v>
      </c>
      <c r="O10" t="s">
        <v>19</v>
      </c>
      <c r="P10">
        <v>12.17</v>
      </c>
      <c r="Q10">
        <v>6.66</v>
      </c>
    </row>
    <row r="11" spans="1:17" x14ac:dyDescent="0.25">
      <c r="A11" t="s">
        <v>93</v>
      </c>
      <c r="B11" s="1">
        <v>45134</v>
      </c>
      <c r="C11" t="s">
        <v>261</v>
      </c>
      <c r="D11">
        <v>2023</v>
      </c>
      <c r="E11" t="s">
        <v>33</v>
      </c>
      <c r="F11" t="s">
        <v>22</v>
      </c>
      <c r="G11" t="s">
        <v>47</v>
      </c>
      <c r="H11">
        <v>21</v>
      </c>
      <c r="I11">
        <v>0</v>
      </c>
      <c r="J11">
        <v>0</v>
      </c>
      <c r="K11">
        <v>0</v>
      </c>
      <c r="L11" t="s">
        <v>30</v>
      </c>
      <c r="M11" t="s">
        <v>31</v>
      </c>
      <c r="N11" t="s">
        <v>265</v>
      </c>
      <c r="O11" t="s">
        <v>39</v>
      </c>
      <c r="P11">
        <v>4.75</v>
      </c>
      <c r="Q11">
        <v>7.01</v>
      </c>
    </row>
    <row r="12" spans="1:17" x14ac:dyDescent="0.25">
      <c r="A12" t="s">
        <v>97</v>
      </c>
      <c r="B12" s="1">
        <v>45310</v>
      </c>
      <c r="C12" t="s">
        <v>253</v>
      </c>
      <c r="D12">
        <v>2024</v>
      </c>
      <c r="E12" t="s">
        <v>67</v>
      </c>
      <c r="F12" t="s">
        <v>50</v>
      </c>
      <c r="G12" t="s">
        <v>29</v>
      </c>
      <c r="H12">
        <v>23</v>
      </c>
      <c r="I12">
        <v>0</v>
      </c>
      <c r="J12">
        <v>0</v>
      </c>
      <c r="K12">
        <v>0</v>
      </c>
      <c r="L12" t="s">
        <v>30</v>
      </c>
      <c r="M12" t="s">
        <v>18</v>
      </c>
      <c r="N12" t="s">
        <v>265</v>
      </c>
      <c r="O12" t="s">
        <v>39</v>
      </c>
      <c r="P12">
        <v>6.52</v>
      </c>
      <c r="Q12">
        <v>3.37</v>
      </c>
    </row>
    <row r="13" spans="1:17" x14ac:dyDescent="0.25">
      <c r="A13" t="s">
        <v>98</v>
      </c>
      <c r="B13" s="1">
        <v>44950</v>
      </c>
      <c r="C13" t="s">
        <v>253</v>
      </c>
      <c r="D13">
        <v>2023</v>
      </c>
      <c r="E13" t="s">
        <v>14</v>
      </c>
      <c r="F13" t="s">
        <v>15</v>
      </c>
      <c r="G13" t="s">
        <v>47</v>
      </c>
      <c r="H13">
        <v>2</v>
      </c>
      <c r="I13">
        <v>0</v>
      </c>
      <c r="J13">
        <v>0</v>
      </c>
      <c r="K13">
        <v>0</v>
      </c>
      <c r="L13" t="s">
        <v>30</v>
      </c>
      <c r="M13" t="s">
        <v>18</v>
      </c>
      <c r="N13" t="s">
        <v>265</v>
      </c>
      <c r="O13" t="s">
        <v>19</v>
      </c>
      <c r="P13">
        <v>6.21</v>
      </c>
      <c r="Q13">
        <v>7.07</v>
      </c>
    </row>
    <row r="14" spans="1:17" x14ac:dyDescent="0.25">
      <c r="A14" t="s">
        <v>101</v>
      </c>
      <c r="B14" s="1">
        <v>45198</v>
      </c>
      <c r="C14" t="s">
        <v>257</v>
      </c>
      <c r="D14">
        <v>2023</v>
      </c>
      <c r="E14" t="s">
        <v>61</v>
      </c>
      <c r="F14" t="s">
        <v>28</v>
      </c>
      <c r="G14" t="s">
        <v>47</v>
      </c>
      <c r="H14">
        <v>32</v>
      </c>
      <c r="I14">
        <v>0</v>
      </c>
      <c r="J14">
        <v>0</v>
      </c>
      <c r="K14">
        <v>0</v>
      </c>
      <c r="L14" t="s">
        <v>17</v>
      </c>
      <c r="M14" t="s">
        <v>18</v>
      </c>
      <c r="N14" t="s">
        <v>266</v>
      </c>
      <c r="O14" t="s">
        <v>19</v>
      </c>
      <c r="P14">
        <v>9.07</v>
      </c>
      <c r="Q14">
        <v>7.49</v>
      </c>
    </row>
    <row r="15" spans="1:17" x14ac:dyDescent="0.25">
      <c r="A15" t="s">
        <v>102</v>
      </c>
      <c r="B15" s="1">
        <v>45342</v>
      </c>
      <c r="C15" t="s">
        <v>255</v>
      </c>
      <c r="D15">
        <v>2024</v>
      </c>
      <c r="E15" t="s">
        <v>21</v>
      </c>
      <c r="F15" t="s">
        <v>22</v>
      </c>
      <c r="G15" t="s">
        <v>38</v>
      </c>
      <c r="H15">
        <v>2</v>
      </c>
      <c r="I15">
        <v>0</v>
      </c>
      <c r="J15">
        <v>0</v>
      </c>
      <c r="K15">
        <v>0</v>
      </c>
      <c r="L15" t="s">
        <v>17</v>
      </c>
      <c r="M15" t="s">
        <v>25</v>
      </c>
      <c r="N15" t="s">
        <v>266</v>
      </c>
      <c r="O15" t="s">
        <v>39</v>
      </c>
      <c r="P15">
        <v>5.7</v>
      </c>
      <c r="Q15">
        <v>5.9</v>
      </c>
    </row>
    <row r="16" spans="1:17" x14ac:dyDescent="0.25">
      <c r="A16" t="s">
        <v>111</v>
      </c>
      <c r="B16" s="1">
        <v>45015</v>
      </c>
      <c r="C16" t="s">
        <v>256</v>
      </c>
      <c r="D16">
        <v>2023</v>
      </c>
      <c r="E16" t="s">
        <v>44</v>
      </c>
      <c r="F16" t="s">
        <v>37</v>
      </c>
      <c r="G16" t="s">
        <v>23</v>
      </c>
      <c r="H16">
        <v>13</v>
      </c>
      <c r="I16">
        <v>0</v>
      </c>
      <c r="J16">
        <v>0</v>
      </c>
      <c r="K16">
        <v>0</v>
      </c>
      <c r="L16" t="s">
        <v>24</v>
      </c>
      <c r="M16" t="s">
        <v>31</v>
      </c>
      <c r="N16" t="s">
        <v>267</v>
      </c>
      <c r="O16" t="s">
        <v>39</v>
      </c>
      <c r="P16">
        <v>12.99</v>
      </c>
      <c r="Q16">
        <v>7.6</v>
      </c>
    </row>
    <row r="17" spans="1:17" x14ac:dyDescent="0.25">
      <c r="A17" t="s">
        <v>112</v>
      </c>
      <c r="B17" s="1">
        <v>45156</v>
      </c>
      <c r="C17" t="s">
        <v>254</v>
      </c>
      <c r="D17">
        <v>2023</v>
      </c>
      <c r="E17" t="s">
        <v>49</v>
      </c>
      <c r="F17" t="s">
        <v>50</v>
      </c>
      <c r="G17" t="s">
        <v>29</v>
      </c>
      <c r="H17">
        <v>40</v>
      </c>
      <c r="I17">
        <v>0</v>
      </c>
      <c r="J17">
        <v>0</v>
      </c>
      <c r="K17">
        <v>0</v>
      </c>
      <c r="L17" t="s">
        <v>24</v>
      </c>
      <c r="M17" t="s">
        <v>34</v>
      </c>
      <c r="N17" t="s">
        <v>267</v>
      </c>
      <c r="O17" t="s">
        <v>19</v>
      </c>
      <c r="P17">
        <v>7.38</v>
      </c>
      <c r="Q17">
        <v>3.93</v>
      </c>
    </row>
    <row r="18" spans="1:17" x14ac:dyDescent="0.25">
      <c r="A18" t="s">
        <v>113</v>
      </c>
      <c r="B18" s="1">
        <v>45154</v>
      </c>
      <c r="C18" t="s">
        <v>254</v>
      </c>
      <c r="D18">
        <v>2023</v>
      </c>
      <c r="E18" t="s">
        <v>52</v>
      </c>
      <c r="F18" t="s">
        <v>37</v>
      </c>
      <c r="G18" t="s">
        <v>47</v>
      </c>
      <c r="H18">
        <v>11</v>
      </c>
      <c r="I18">
        <v>0</v>
      </c>
      <c r="J18">
        <v>0</v>
      </c>
      <c r="K18">
        <v>0</v>
      </c>
      <c r="L18" t="s">
        <v>30</v>
      </c>
      <c r="M18" t="s">
        <v>18</v>
      </c>
      <c r="N18" t="s">
        <v>265</v>
      </c>
      <c r="O18" t="s">
        <v>39</v>
      </c>
      <c r="P18">
        <v>12</v>
      </c>
      <c r="Q18">
        <v>8.52</v>
      </c>
    </row>
    <row r="19" spans="1:17" x14ac:dyDescent="0.25">
      <c r="A19" t="s">
        <v>114</v>
      </c>
      <c r="B19" s="1">
        <v>45372</v>
      </c>
      <c r="C19" t="s">
        <v>256</v>
      </c>
      <c r="D19">
        <v>2024</v>
      </c>
      <c r="E19" t="s">
        <v>61</v>
      </c>
      <c r="F19" t="s">
        <v>28</v>
      </c>
      <c r="G19" t="s">
        <v>56</v>
      </c>
      <c r="H19">
        <v>6</v>
      </c>
      <c r="I19">
        <v>0</v>
      </c>
      <c r="J19">
        <v>0</v>
      </c>
      <c r="K19">
        <v>0</v>
      </c>
      <c r="L19" t="s">
        <v>30</v>
      </c>
      <c r="M19" t="s">
        <v>18</v>
      </c>
      <c r="N19" t="s">
        <v>265</v>
      </c>
      <c r="O19" t="s">
        <v>39</v>
      </c>
      <c r="P19">
        <v>9.07</v>
      </c>
      <c r="Q19">
        <v>7.49</v>
      </c>
    </row>
    <row r="20" spans="1:17" x14ac:dyDescent="0.25">
      <c r="A20" t="s">
        <v>116</v>
      </c>
      <c r="B20" s="1">
        <v>44930</v>
      </c>
      <c r="C20" t="s">
        <v>253</v>
      </c>
      <c r="D20">
        <v>2023</v>
      </c>
      <c r="E20" t="s">
        <v>36</v>
      </c>
      <c r="F20" t="s">
        <v>37</v>
      </c>
      <c r="G20" t="s">
        <v>47</v>
      </c>
      <c r="H20">
        <v>36</v>
      </c>
      <c r="I20">
        <v>0</v>
      </c>
      <c r="J20">
        <v>0</v>
      </c>
      <c r="K20">
        <v>0</v>
      </c>
      <c r="L20" t="s">
        <v>69</v>
      </c>
      <c r="M20" t="s">
        <v>31</v>
      </c>
      <c r="N20" t="s">
        <v>265</v>
      </c>
      <c r="O20" t="s">
        <v>39</v>
      </c>
      <c r="P20">
        <v>10.52</v>
      </c>
      <c r="Q20">
        <v>7.44</v>
      </c>
    </row>
    <row r="21" spans="1:17" x14ac:dyDescent="0.25">
      <c r="A21" t="s">
        <v>118</v>
      </c>
      <c r="B21" s="1">
        <v>45220</v>
      </c>
      <c r="C21" t="s">
        <v>251</v>
      </c>
      <c r="D21">
        <v>2023</v>
      </c>
      <c r="E21" t="s">
        <v>58</v>
      </c>
      <c r="F21" t="s">
        <v>50</v>
      </c>
      <c r="G21" t="s">
        <v>47</v>
      </c>
      <c r="H21">
        <v>25</v>
      </c>
      <c r="I21">
        <v>0</v>
      </c>
      <c r="J21">
        <v>0</v>
      </c>
      <c r="K21">
        <v>0</v>
      </c>
      <c r="L21" t="s">
        <v>69</v>
      </c>
      <c r="M21" t="s">
        <v>31</v>
      </c>
      <c r="N21" t="s">
        <v>265</v>
      </c>
      <c r="O21" t="s">
        <v>39</v>
      </c>
      <c r="P21">
        <v>6.9</v>
      </c>
      <c r="Q21">
        <v>3.3</v>
      </c>
    </row>
    <row r="22" spans="1:17" x14ac:dyDescent="0.25">
      <c r="A22" t="s">
        <v>124</v>
      </c>
      <c r="B22" s="1">
        <v>45408</v>
      </c>
      <c r="C22" t="s">
        <v>258</v>
      </c>
      <c r="D22">
        <v>2024</v>
      </c>
      <c r="E22" t="s">
        <v>49</v>
      </c>
      <c r="F22" t="s">
        <v>50</v>
      </c>
      <c r="G22" t="s">
        <v>29</v>
      </c>
      <c r="H22">
        <v>34</v>
      </c>
      <c r="I22">
        <v>0</v>
      </c>
      <c r="J22">
        <v>0</v>
      </c>
      <c r="K22">
        <v>0</v>
      </c>
      <c r="L22" t="s">
        <v>30</v>
      </c>
      <c r="M22" t="s">
        <v>25</v>
      </c>
      <c r="N22" t="s">
        <v>265</v>
      </c>
      <c r="O22" t="s">
        <v>39</v>
      </c>
      <c r="P22">
        <v>7.38</v>
      </c>
      <c r="Q22">
        <v>3.93</v>
      </c>
    </row>
    <row r="23" spans="1:17" x14ac:dyDescent="0.25">
      <c r="A23" t="s">
        <v>132</v>
      </c>
      <c r="B23" s="1">
        <v>45365</v>
      </c>
      <c r="C23" t="s">
        <v>256</v>
      </c>
      <c r="D23">
        <v>2024</v>
      </c>
      <c r="E23" t="s">
        <v>21</v>
      </c>
      <c r="F23" t="s">
        <v>22</v>
      </c>
      <c r="G23" t="s">
        <v>16</v>
      </c>
      <c r="H23">
        <v>36</v>
      </c>
      <c r="I23">
        <v>0</v>
      </c>
      <c r="J23">
        <v>0</v>
      </c>
      <c r="K23">
        <v>0</v>
      </c>
      <c r="L23" t="s">
        <v>24</v>
      </c>
      <c r="M23" t="s">
        <v>18</v>
      </c>
      <c r="N23" t="s">
        <v>267</v>
      </c>
      <c r="O23" t="s">
        <v>39</v>
      </c>
      <c r="P23">
        <v>5.7</v>
      </c>
      <c r="Q23">
        <v>5.9</v>
      </c>
    </row>
    <row r="24" spans="1:17" x14ac:dyDescent="0.25">
      <c r="A24" t="s">
        <v>135</v>
      </c>
      <c r="B24" s="1">
        <v>45001</v>
      </c>
      <c r="C24" t="s">
        <v>256</v>
      </c>
      <c r="D24">
        <v>2023</v>
      </c>
      <c r="E24" t="s">
        <v>14</v>
      </c>
      <c r="F24" t="s">
        <v>15</v>
      </c>
      <c r="G24" t="s">
        <v>23</v>
      </c>
      <c r="H24">
        <v>8</v>
      </c>
      <c r="I24">
        <v>0</v>
      </c>
      <c r="J24">
        <v>0</v>
      </c>
      <c r="K24">
        <v>0</v>
      </c>
      <c r="L24" t="s">
        <v>69</v>
      </c>
      <c r="M24" t="s">
        <v>25</v>
      </c>
      <c r="N24" t="s">
        <v>265</v>
      </c>
      <c r="O24" t="s">
        <v>39</v>
      </c>
      <c r="P24">
        <v>6.21</v>
      </c>
      <c r="Q24">
        <v>7.07</v>
      </c>
    </row>
    <row r="25" spans="1:17" x14ac:dyDescent="0.25">
      <c r="A25" t="s">
        <v>139</v>
      </c>
      <c r="B25" s="1">
        <v>44937</v>
      </c>
      <c r="C25" t="s">
        <v>253</v>
      </c>
      <c r="D25">
        <v>2023</v>
      </c>
      <c r="E25" t="s">
        <v>36</v>
      </c>
      <c r="F25" t="s">
        <v>37</v>
      </c>
      <c r="G25" t="s">
        <v>56</v>
      </c>
      <c r="H25">
        <v>18</v>
      </c>
      <c r="I25">
        <v>0</v>
      </c>
      <c r="J25">
        <v>0</v>
      </c>
      <c r="K25">
        <v>0</v>
      </c>
      <c r="L25" t="s">
        <v>17</v>
      </c>
      <c r="M25" t="s">
        <v>34</v>
      </c>
      <c r="N25" t="s">
        <v>266</v>
      </c>
      <c r="O25" t="s">
        <v>39</v>
      </c>
      <c r="P25">
        <v>10.52</v>
      </c>
      <c r="Q25">
        <v>7.44</v>
      </c>
    </row>
    <row r="26" spans="1:17" x14ac:dyDescent="0.25">
      <c r="A26" t="s">
        <v>140</v>
      </c>
      <c r="B26" s="1">
        <v>45026</v>
      </c>
      <c r="C26" t="s">
        <v>258</v>
      </c>
      <c r="D26">
        <v>2023</v>
      </c>
      <c r="E26" t="s">
        <v>21</v>
      </c>
      <c r="F26" t="s">
        <v>22</v>
      </c>
      <c r="G26" t="s">
        <v>42</v>
      </c>
      <c r="H26">
        <v>8</v>
      </c>
      <c r="I26">
        <v>0</v>
      </c>
      <c r="J26">
        <v>0</v>
      </c>
      <c r="K26">
        <v>0</v>
      </c>
      <c r="L26" t="s">
        <v>30</v>
      </c>
      <c r="M26" t="s">
        <v>18</v>
      </c>
      <c r="N26" t="s">
        <v>265</v>
      </c>
      <c r="O26" t="s">
        <v>39</v>
      </c>
      <c r="P26">
        <v>5.7</v>
      </c>
      <c r="Q26">
        <v>5.9</v>
      </c>
    </row>
    <row r="27" spans="1:17" x14ac:dyDescent="0.25">
      <c r="A27" t="s">
        <v>143</v>
      </c>
      <c r="B27" s="1">
        <v>45002</v>
      </c>
      <c r="C27" t="s">
        <v>256</v>
      </c>
      <c r="D27">
        <v>2023</v>
      </c>
      <c r="E27" t="s">
        <v>65</v>
      </c>
      <c r="F27" t="s">
        <v>37</v>
      </c>
      <c r="G27" t="s">
        <v>56</v>
      </c>
      <c r="H27">
        <v>13</v>
      </c>
      <c r="I27">
        <v>0</v>
      </c>
      <c r="J27">
        <v>0</v>
      </c>
      <c r="K27">
        <v>0</v>
      </c>
      <c r="L27" t="s">
        <v>30</v>
      </c>
      <c r="M27" t="s">
        <v>25</v>
      </c>
      <c r="N27" t="s">
        <v>265</v>
      </c>
      <c r="O27" t="s">
        <v>39</v>
      </c>
      <c r="P27">
        <v>12.17</v>
      </c>
      <c r="Q27">
        <v>6.66</v>
      </c>
    </row>
    <row r="28" spans="1:17" x14ac:dyDescent="0.25">
      <c r="A28" t="s">
        <v>147</v>
      </c>
      <c r="B28" s="1">
        <v>45185</v>
      </c>
      <c r="C28" t="s">
        <v>257</v>
      </c>
      <c r="D28">
        <v>2023</v>
      </c>
      <c r="E28" t="s">
        <v>61</v>
      </c>
      <c r="F28" t="s">
        <v>28</v>
      </c>
      <c r="G28" t="s">
        <v>16</v>
      </c>
      <c r="H28">
        <v>15</v>
      </c>
      <c r="I28">
        <v>0</v>
      </c>
      <c r="J28">
        <v>0</v>
      </c>
      <c r="K28">
        <v>0</v>
      </c>
      <c r="L28" t="s">
        <v>24</v>
      </c>
      <c r="M28" t="s">
        <v>31</v>
      </c>
      <c r="N28" t="s">
        <v>267</v>
      </c>
      <c r="O28" t="s">
        <v>39</v>
      </c>
      <c r="P28">
        <v>9.07</v>
      </c>
      <c r="Q28">
        <v>7.49</v>
      </c>
    </row>
    <row r="29" spans="1:17" x14ac:dyDescent="0.25">
      <c r="A29" t="s">
        <v>149</v>
      </c>
      <c r="B29" s="1">
        <v>45097</v>
      </c>
      <c r="C29" t="s">
        <v>252</v>
      </c>
      <c r="D29">
        <v>2023</v>
      </c>
      <c r="E29" t="s">
        <v>61</v>
      </c>
      <c r="F29" t="s">
        <v>28</v>
      </c>
      <c r="G29" t="s">
        <v>42</v>
      </c>
      <c r="H29">
        <v>29</v>
      </c>
      <c r="I29">
        <v>0</v>
      </c>
      <c r="J29">
        <v>0</v>
      </c>
      <c r="K29">
        <v>0</v>
      </c>
      <c r="L29" t="s">
        <v>24</v>
      </c>
      <c r="M29" t="s">
        <v>34</v>
      </c>
      <c r="N29" t="s">
        <v>267</v>
      </c>
      <c r="O29" t="s">
        <v>39</v>
      </c>
      <c r="P29">
        <v>9.07</v>
      </c>
      <c r="Q29">
        <v>7.49</v>
      </c>
    </row>
    <row r="30" spans="1:17" x14ac:dyDescent="0.25">
      <c r="A30" t="s">
        <v>150</v>
      </c>
      <c r="B30" s="1">
        <v>45208</v>
      </c>
      <c r="C30" t="s">
        <v>251</v>
      </c>
      <c r="D30">
        <v>2023</v>
      </c>
      <c r="E30" t="s">
        <v>54</v>
      </c>
      <c r="F30" t="s">
        <v>55</v>
      </c>
      <c r="G30" t="s">
        <v>38</v>
      </c>
      <c r="H30">
        <v>37</v>
      </c>
      <c r="I30">
        <v>0</v>
      </c>
      <c r="J30">
        <v>0</v>
      </c>
      <c r="K30">
        <v>0</v>
      </c>
      <c r="L30" t="s">
        <v>17</v>
      </c>
      <c r="M30" t="s">
        <v>25</v>
      </c>
      <c r="N30" t="s">
        <v>266</v>
      </c>
      <c r="O30" t="s">
        <v>19</v>
      </c>
      <c r="P30">
        <v>11.83</v>
      </c>
      <c r="Q30">
        <v>13.15</v>
      </c>
    </row>
    <row r="31" spans="1:17" x14ac:dyDescent="0.25">
      <c r="A31" t="s">
        <v>158</v>
      </c>
      <c r="B31" s="1">
        <v>45259</v>
      </c>
      <c r="C31" t="s">
        <v>260</v>
      </c>
      <c r="D31">
        <v>2023</v>
      </c>
      <c r="E31" t="s">
        <v>52</v>
      </c>
      <c r="F31" t="s">
        <v>37</v>
      </c>
      <c r="G31" t="s">
        <v>47</v>
      </c>
      <c r="H31">
        <v>21</v>
      </c>
      <c r="I31">
        <v>0</v>
      </c>
      <c r="J31">
        <v>0</v>
      </c>
      <c r="K31">
        <v>0</v>
      </c>
      <c r="L31" t="s">
        <v>24</v>
      </c>
      <c r="M31" t="s">
        <v>31</v>
      </c>
      <c r="N31" t="s">
        <v>267</v>
      </c>
      <c r="O31" t="s">
        <v>39</v>
      </c>
      <c r="P31">
        <v>12</v>
      </c>
      <c r="Q31">
        <v>8.52</v>
      </c>
    </row>
    <row r="32" spans="1:17" x14ac:dyDescent="0.25">
      <c r="A32" t="s">
        <v>159</v>
      </c>
      <c r="B32" s="1">
        <v>44956</v>
      </c>
      <c r="C32" t="s">
        <v>253</v>
      </c>
      <c r="D32">
        <v>2023</v>
      </c>
      <c r="E32" t="s">
        <v>61</v>
      </c>
      <c r="F32" t="s">
        <v>28</v>
      </c>
      <c r="G32" t="s">
        <v>29</v>
      </c>
      <c r="H32">
        <v>36</v>
      </c>
      <c r="I32">
        <v>0</v>
      </c>
      <c r="J32">
        <v>0</v>
      </c>
      <c r="K32">
        <v>0</v>
      </c>
      <c r="L32" t="s">
        <v>17</v>
      </c>
      <c r="M32" t="s">
        <v>25</v>
      </c>
      <c r="N32" t="s">
        <v>266</v>
      </c>
      <c r="O32" t="s">
        <v>19</v>
      </c>
      <c r="P32">
        <v>9.07</v>
      </c>
      <c r="Q32">
        <v>7.49</v>
      </c>
    </row>
    <row r="33" spans="1:17" x14ac:dyDescent="0.25">
      <c r="A33" t="s">
        <v>162</v>
      </c>
      <c r="B33" s="1">
        <v>45369</v>
      </c>
      <c r="C33" t="s">
        <v>256</v>
      </c>
      <c r="D33">
        <v>2024</v>
      </c>
      <c r="E33" t="s">
        <v>27</v>
      </c>
      <c r="F33" t="s">
        <v>28</v>
      </c>
      <c r="G33" t="s">
        <v>56</v>
      </c>
      <c r="H33">
        <v>38</v>
      </c>
      <c r="I33">
        <v>0</v>
      </c>
      <c r="J33">
        <v>0</v>
      </c>
      <c r="K33">
        <v>0</v>
      </c>
      <c r="L33" t="s">
        <v>24</v>
      </c>
      <c r="M33" t="s">
        <v>18</v>
      </c>
      <c r="N33" t="s">
        <v>267</v>
      </c>
      <c r="O33" t="s">
        <v>39</v>
      </c>
      <c r="P33">
        <v>7.73</v>
      </c>
      <c r="Q33">
        <v>8.5399999999999991</v>
      </c>
    </row>
    <row r="34" spans="1:17" x14ac:dyDescent="0.25">
      <c r="A34" t="s">
        <v>163</v>
      </c>
      <c r="B34" s="1">
        <v>45051</v>
      </c>
      <c r="C34" t="s">
        <v>259</v>
      </c>
      <c r="D34">
        <v>2023</v>
      </c>
      <c r="E34" t="s">
        <v>36</v>
      </c>
      <c r="F34" t="s">
        <v>37</v>
      </c>
      <c r="G34" t="s">
        <v>42</v>
      </c>
      <c r="H34">
        <v>33</v>
      </c>
      <c r="I34">
        <v>0</v>
      </c>
      <c r="J34">
        <v>0</v>
      </c>
      <c r="K34">
        <v>0</v>
      </c>
      <c r="L34" t="s">
        <v>30</v>
      </c>
      <c r="M34" t="s">
        <v>31</v>
      </c>
      <c r="N34" t="s">
        <v>265</v>
      </c>
      <c r="O34" t="s">
        <v>39</v>
      </c>
      <c r="P34">
        <v>10.52</v>
      </c>
      <c r="Q34">
        <v>7.44</v>
      </c>
    </row>
    <row r="35" spans="1:17" x14ac:dyDescent="0.25">
      <c r="A35" t="s">
        <v>164</v>
      </c>
      <c r="B35" s="1">
        <v>44957</v>
      </c>
      <c r="C35" t="s">
        <v>253</v>
      </c>
      <c r="D35">
        <v>2023</v>
      </c>
      <c r="E35" t="s">
        <v>36</v>
      </c>
      <c r="F35" t="s">
        <v>37</v>
      </c>
      <c r="G35" t="s">
        <v>56</v>
      </c>
      <c r="H35">
        <v>20</v>
      </c>
      <c r="I35">
        <v>0</v>
      </c>
      <c r="J35">
        <v>0</v>
      </c>
      <c r="K35">
        <v>0</v>
      </c>
      <c r="L35" t="s">
        <v>17</v>
      </c>
      <c r="M35" t="s">
        <v>31</v>
      </c>
      <c r="N35" t="s">
        <v>266</v>
      </c>
      <c r="O35" t="s">
        <v>39</v>
      </c>
      <c r="P35">
        <v>10.52</v>
      </c>
      <c r="Q35">
        <v>7.44</v>
      </c>
    </row>
    <row r="36" spans="1:17" x14ac:dyDescent="0.25">
      <c r="A36" t="s">
        <v>165</v>
      </c>
      <c r="B36" s="1">
        <v>45217</v>
      </c>
      <c r="C36" t="s">
        <v>251</v>
      </c>
      <c r="D36">
        <v>2023</v>
      </c>
      <c r="E36" t="s">
        <v>58</v>
      </c>
      <c r="F36" t="s">
        <v>50</v>
      </c>
      <c r="G36" t="s">
        <v>23</v>
      </c>
      <c r="H36">
        <v>32</v>
      </c>
      <c r="I36">
        <v>0</v>
      </c>
      <c r="J36">
        <v>0</v>
      </c>
      <c r="K36">
        <v>0</v>
      </c>
      <c r="L36" t="s">
        <v>69</v>
      </c>
      <c r="M36" t="s">
        <v>31</v>
      </c>
      <c r="N36" t="s">
        <v>265</v>
      </c>
      <c r="O36" t="s">
        <v>19</v>
      </c>
      <c r="P36">
        <v>6.9</v>
      </c>
      <c r="Q36">
        <v>3.3</v>
      </c>
    </row>
    <row r="37" spans="1:17" x14ac:dyDescent="0.25">
      <c r="A37" t="s">
        <v>168</v>
      </c>
      <c r="B37" s="1">
        <v>45045</v>
      </c>
      <c r="C37" t="s">
        <v>258</v>
      </c>
      <c r="D37">
        <v>2023</v>
      </c>
      <c r="E37" t="s">
        <v>14</v>
      </c>
      <c r="F37" t="s">
        <v>15</v>
      </c>
      <c r="G37" t="s">
        <v>47</v>
      </c>
      <c r="H37">
        <v>39</v>
      </c>
      <c r="I37">
        <v>0</v>
      </c>
      <c r="J37">
        <v>0</v>
      </c>
      <c r="K37">
        <v>0</v>
      </c>
      <c r="L37" t="s">
        <v>24</v>
      </c>
      <c r="M37" t="s">
        <v>31</v>
      </c>
      <c r="N37" t="s">
        <v>267</v>
      </c>
      <c r="O37" t="s">
        <v>39</v>
      </c>
      <c r="P37">
        <v>6.21</v>
      </c>
      <c r="Q37">
        <v>7.07</v>
      </c>
    </row>
    <row r="38" spans="1:17" x14ac:dyDescent="0.25">
      <c r="A38" t="s">
        <v>171</v>
      </c>
      <c r="B38" s="1">
        <v>45409</v>
      </c>
      <c r="C38" t="s">
        <v>258</v>
      </c>
      <c r="D38">
        <v>2024</v>
      </c>
      <c r="E38" t="s">
        <v>21</v>
      </c>
      <c r="F38" t="s">
        <v>22</v>
      </c>
      <c r="G38" t="s">
        <v>47</v>
      </c>
      <c r="H38">
        <v>36</v>
      </c>
      <c r="I38">
        <v>0</v>
      </c>
      <c r="J38">
        <v>0</v>
      </c>
      <c r="K38">
        <v>0</v>
      </c>
      <c r="L38" t="s">
        <v>24</v>
      </c>
      <c r="M38" t="s">
        <v>34</v>
      </c>
      <c r="N38" t="s">
        <v>267</v>
      </c>
      <c r="O38" t="s">
        <v>39</v>
      </c>
      <c r="P38">
        <v>5.7</v>
      </c>
      <c r="Q38">
        <v>5.9</v>
      </c>
    </row>
    <row r="39" spans="1:17" x14ac:dyDescent="0.25">
      <c r="A39" t="s">
        <v>174</v>
      </c>
      <c r="B39" s="1">
        <v>45349</v>
      </c>
      <c r="C39" t="s">
        <v>255</v>
      </c>
      <c r="D39">
        <v>2024</v>
      </c>
      <c r="E39" t="s">
        <v>33</v>
      </c>
      <c r="F39" t="s">
        <v>22</v>
      </c>
      <c r="G39" t="s">
        <v>56</v>
      </c>
      <c r="H39">
        <v>13</v>
      </c>
      <c r="I39">
        <v>0</v>
      </c>
      <c r="J39">
        <v>0</v>
      </c>
      <c r="K39">
        <v>0</v>
      </c>
      <c r="L39" t="s">
        <v>17</v>
      </c>
      <c r="M39" t="s">
        <v>18</v>
      </c>
      <c r="N39" t="s">
        <v>266</v>
      </c>
      <c r="O39" t="s">
        <v>39</v>
      </c>
      <c r="P39">
        <v>4.75</v>
      </c>
      <c r="Q39">
        <v>7.01</v>
      </c>
    </row>
    <row r="40" spans="1:17" x14ac:dyDescent="0.25">
      <c r="A40" t="s">
        <v>176</v>
      </c>
      <c r="B40" s="1">
        <v>45065</v>
      </c>
      <c r="C40" t="s">
        <v>259</v>
      </c>
      <c r="D40">
        <v>2023</v>
      </c>
      <c r="E40" t="s">
        <v>67</v>
      </c>
      <c r="F40" t="s">
        <v>50</v>
      </c>
      <c r="G40" t="s">
        <v>42</v>
      </c>
      <c r="H40">
        <v>13</v>
      </c>
      <c r="I40">
        <v>0</v>
      </c>
      <c r="J40">
        <v>0</v>
      </c>
      <c r="K40">
        <v>0</v>
      </c>
      <c r="L40" t="s">
        <v>17</v>
      </c>
      <c r="M40" t="s">
        <v>18</v>
      </c>
      <c r="N40" t="s">
        <v>266</v>
      </c>
      <c r="O40" t="s">
        <v>39</v>
      </c>
      <c r="P40">
        <v>6.52</v>
      </c>
      <c r="Q40">
        <v>3.37</v>
      </c>
    </row>
    <row r="41" spans="1:17" x14ac:dyDescent="0.25">
      <c r="A41" t="s">
        <v>177</v>
      </c>
      <c r="B41" s="1">
        <v>45427</v>
      </c>
      <c r="C41" t="s">
        <v>259</v>
      </c>
      <c r="D41">
        <v>2024</v>
      </c>
      <c r="E41" t="s">
        <v>61</v>
      </c>
      <c r="F41" t="s">
        <v>28</v>
      </c>
      <c r="G41" t="s">
        <v>29</v>
      </c>
      <c r="H41">
        <v>20</v>
      </c>
      <c r="I41">
        <v>0</v>
      </c>
      <c r="J41">
        <v>0</v>
      </c>
      <c r="K41">
        <v>0</v>
      </c>
      <c r="L41" t="s">
        <v>69</v>
      </c>
      <c r="M41" t="s">
        <v>31</v>
      </c>
      <c r="N41" t="s">
        <v>265</v>
      </c>
      <c r="O41" t="s">
        <v>39</v>
      </c>
      <c r="P41">
        <v>9.07</v>
      </c>
      <c r="Q41">
        <v>7.49</v>
      </c>
    </row>
    <row r="42" spans="1:17" x14ac:dyDescent="0.25">
      <c r="A42" t="s">
        <v>180</v>
      </c>
      <c r="B42" s="1">
        <v>45401</v>
      </c>
      <c r="C42" t="s">
        <v>258</v>
      </c>
      <c r="D42">
        <v>2024</v>
      </c>
      <c r="E42" t="s">
        <v>44</v>
      </c>
      <c r="F42" t="s">
        <v>37</v>
      </c>
      <c r="G42" t="s">
        <v>42</v>
      </c>
      <c r="H42">
        <v>22</v>
      </c>
      <c r="I42">
        <v>0</v>
      </c>
      <c r="J42">
        <v>0</v>
      </c>
      <c r="K42">
        <v>0</v>
      </c>
      <c r="L42" t="s">
        <v>69</v>
      </c>
      <c r="M42" t="s">
        <v>34</v>
      </c>
      <c r="N42" t="s">
        <v>265</v>
      </c>
      <c r="O42" t="s">
        <v>39</v>
      </c>
      <c r="P42">
        <v>12.99</v>
      </c>
      <c r="Q42">
        <v>7.6</v>
      </c>
    </row>
    <row r="43" spans="1:17" x14ac:dyDescent="0.25">
      <c r="A43" t="s">
        <v>183</v>
      </c>
      <c r="B43" s="1">
        <v>44974</v>
      </c>
      <c r="C43" t="s">
        <v>255</v>
      </c>
      <c r="D43">
        <v>2023</v>
      </c>
      <c r="E43" t="s">
        <v>65</v>
      </c>
      <c r="F43" t="s">
        <v>37</v>
      </c>
      <c r="G43" t="s">
        <v>56</v>
      </c>
      <c r="H43">
        <v>12</v>
      </c>
      <c r="I43">
        <v>0</v>
      </c>
      <c r="J43">
        <v>0</v>
      </c>
      <c r="K43">
        <v>0</v>
      </c>
      <c r="L43" t="s">
        <v>17</v>
      </c>
      <c r="M43" t="s">
        <v>25</v>
      </c>
      <c r="N43" t="s">
        <v>266</v>
      </c>
      <c r="O43" t="s">
        <v>19</v>
      </c>
      <c r="P43">
        <v>12.17</v>
      </c>
      <c r="Q43">
        <v>6.66</v>
      </c>
    </row>
    <row r="44" spans="1:17" x14ac:dyDescent="0.25">
      <c r="A44" t="s">
        <v>187</v>
      </c>
      <c r="B44" s="1">
        <v>44942</v>
      </c>
      <c r="C44" t="s">
        <v>253</v>
      </c>
      <c r="D44">
        <v>2023</v>
      </c>
      <c r="E44" t="s">
        <v>14</v>
      </c>
      <c r="F44" t="s">
        <v>15</v>
      </c>
      <c r="G44" t="s">
        <v>29</v>
      </c>
      <c r="H44">
        <v>39</v>
      </c>
      <c r="I44">
        <v>0</v>
      </c>
      <c r="J44">
        <v>0</v>
      </c>
      <c r="K44">
        <v>0</v>
      </c>
      <c r="L44" t="s">
        <v>17</v>
      </c>
      <c r="M44" t="s">
        <v>31</v>
      </c>
      <c r="N44" t="s">
        <v>266</v>
      </c>
      <c r="O44" t="s">
        <v>39</v>
      </c>
      <c r="P44">
        <v>6.21</v>
      </c>
      <c r="Q44">
        <v>7.07</v>
      </c>
    </row>
    <row r="45" spans="1:17" x14ac:dyDescent="0.25">
      <c r="A45" t="s">
        <v>188</v>
      </c>
      <c r="B45" s="1">
        <v>45126</v>
      </c>
      <c r="C45" t="s">
        <v>261</v>
      </c>
      <c r="D45">
        <v>2023</v>
      </c>
      <c r="E45" t="s">
        <v>44</v>
      </c>
      <c r="F45" t="s">
        <v>37</v>
      </c>
      <c r="G45" t="s">
        <v>23</v>
      </c>
      <c r="H45">
        <v>26</v>
      </c>
      <c r="I45">
        <v>0</v>
      </c>
      <c r="J45">
        <v>0</v>
      </c>
      <c r="K45">
        <v>0</v>
      </c>
      <c r="L45" t="s">
        <v>69</v>
      </c>
      <c r="M45" t="s">
        <v>25</v>
      </c>
      <c r="N45" t="s">
        <v>265</v>
      </c>
      <c r="O45" t="s">
        <v>39</v>
      </c>
      <c r="P45">
        <v>12.99</v>
      </c>
      <c r="Q45">
        <v>7.6</v>
      </c>
    </row>
    <row r="46" spans="1:17" x14ac:dyDescent="0.25">
      <c r="A46" t="s">
        <v>189</v>
      </c>
      <c r="B46" s="1">
        <v>45005</v>
      </c>
      <c r="C46" t="s">
        <v>256</v>
      </c>
      <c r="D46">
        <v>2023</v>
      </c>
      <c r="E46" t="s">
        <v>58</v>
      </c>
      <c r="F46" t="s">
        <v>50</v>
      </c>
      <c r="G46" t="s">
        <v>47</v>
      </c>
      <c r="H46">
        <v>24</v>
      </c>
      <c r="I46">
        <v>0</v>
      </c>
      <c r="J46">
        <v>0</v>
      </c>
      <c r="K46">
        <v>0</v>
      </c>
      <c r="L46" t="s">
        <v>24</v>
      </c>
      <c r="M46" t="s">
        <v>18</v>
      </c>
      <c r="N46" t="s">
        <v>267</v>
      </c>
      <c r="O46" t="s">
        <v>19</v>
      </c>
      <c r="P46">
        <v>6.9</v>
      </c>
      <c r="Q46">
        <v>3.3</v>
      </c>
    </row>
    <row r="47" spans="1:17" x14ac:dyDescent="0.25">
      <c r="A47" t="s">
        <v>190</v>
      </c>
      <c r="B47" s="1">
        <v>45196</v>
      </c>
      <c r="C47" t="s">
        <v>257</v>
      </c>
      <c r="D47">
        <v>2023</v>
      </c>
      <c r="E47" t="s">
        <v>54</v>
      </c>
      <c r="F47" t="s">
        <v>55</v>
      </c>
      <c r="G47" t="s">
        <v>56</v>
      </c>
      <c r="H47">
        <v>4</v>
      </c>
      <c r="I47">
        <v>0</v>
      </c>
      <c r="J47">
        <v>0</v>
      </c>
      <c r="K47">
        <v>0</v>
      </c>
      <c r="L47" t="s">
        <v>69</v>
      </c>
      <c r="M47" t="s">
        <v>34</v>
      </c>
      <c r="N47" t="s">
        <v>265</v>
      </c>
      <c r="O47" t="s">
        <v>19</v>
      </c>
      <c r="P47">
        <v>11.83</v>
      </c>
      <c r="Q47">
        <v>13.15</v>
      </c>
    </row>
    <row r="48" spans="1:17" x14ac:dyDescent="0.25">
      <c r="A48" t="s">
        <v>193</v>
      </c>
      <c r="B48" s="1">
        <v>45010</v>
      </c>
      <c r="C48" t="s">
        <v>256</v>
      </c>
      <c r="D48">
        <v>2023</v>
      </c>
      <c r="E48" t="s">
        <v>14</v>
      </c>
      <c r="F48" t="s">
        <v>15</v>
      </c>
      <c r="G48" t="s">
        <v>42</v>
      </c>
      <c r="H48">
        <v>25</v>
      </c>
      <c r="I48">
        <v>0</v>
      </c>
      <c r="J48">
        <v>0</v>
      </c>
      <c r="K48">
        <v>0</v>
      </c>
      <c r="L48" t="s">
        <v>17</v>
      </c>
      <c r="M48" t="s">
        <v>25</v>
      </c>
      <c r="N48" t="s">
        <v>266</v>
      </c>
      <c r="O48" t="s">
        <v>19</v>
      </c>
      <c r="P48">
        <v>6.21</v>
      </c>
      <c r="Q48">
        <v>7.07</v>
      </c>
    </row>
    <row r="49" spans="1:17" x14ac:dyDescent="0.25">
      <c r="A49" t="s">
        <v>194</v>
      </c>
      <c r="B49" s="1">
        <v>45314</v>
      </c>
      <c r="C49" t="s">
        <v>253</v>
      </c>
      <c r="D49">
        <v>2024</v>
      </c>
      <c r="E49" t="s">
        <v>61</v>
      </c>
      <c r="F49" t="s">
        <v>28</v>
      </c>
      <c r="G49" t="s">
        <v>29</v>
      </c>
      <c r="H49">
        <v>39</v>
      </c>
      <c r="I49">
        <v>0</v>
      </c>
      <c r="J49">
        <v>0</v>
      </c>
      <c r="K49">
        <v>0</v>
      </c>
      <c r="L49" t="s">
        <v>30</v>
      </c>
      <c r="M49" t="s">
        <v>31</v>
      </c>
      <c r="N49" t="s">
        <v>265</v>
      </c>
      <c r="O49" t="s">
        <v>39</v>
      </c>
      <c r="P49">
        <v>9.07</v>
      </c>
      <c r="Q49">
        <v>7.49</v>
      </c>
    </row>
    <row r="50" spans="1:17" x14ac:dyDescent="0.25">
      <c r="A50" t="s">
        <v>195</v>
      </c>
      <c r="B50" s="1">
        <v>44927</v>
      </c>
      <c r="C50" t="s">
        <v>253</v>
      </c>
      <c r="D50">
        <v>2023</v>
      </c>
      <c r="E50" t="s">
        <v>52</v>
      </c>
      <c r="F50" t="s">
        <v>37</v>
      </c>
      <c r="G50" t="s">
        <v>23</v>
      </c>
      <c r="H50">
        <v>30</v>
      </c>
      <c r="I50">
        <v>0</v>
      </c>
      <c r="J50">
        <v>0</v>
      </c>
      <c r="K50">
        <v>0</v>
      </c>
      <c r="L50" t="s">
        <v>24</v>
      </c>
      <c r="M50" t="s">
        <v>25</v>
      </c>
      <c r="N50" t="s">
        <v>267</v>
      </c>
      <c r="O50" t="s">
        <v>39</v>
      </c>
      <c r="P50">
        <v>12</v>
      </c>
      <c r="Q50">
        <v>8.52</v>
      </c>
    </row>
    <row r="51" spans="1:17" x14ac:dyDescent="0.25">
      <c r="A51" t="s">
        <v>196</v>
      </c>
      <c r="B51" s="1">
        <v>44975</v>
      </c>
      <c r="C51" t="s">
        <v>255</v>
      </c>
      <c r="D51">
        <v>2023</v>
      </c>
      <c r="E51" t="s">
        <v>58</v>
      </c>
      <c r="F51" t="s">
        <v>50</v>
      </c>
      <c r="G51" t="s">
        <v>47</v>
      </c>
      <c r="H51">
        <v>18</v>
      </c>
      <c r="I51">
        <v>0</v>
      </c>
      <c r="J51">
        <v>0</v>
      </c>
      <c r="K51">
        <v>0</v>
      </c>
      <c r="L51" t="s">
        <v>17</v>
      </c>
      <c r="M51" t="s">
        <v>25</v>
      </c>
      <c r="N51" t="s">
        <v>266</v>
      </c>
      <c r="O51" t="s">
        <v>39</v>
      </c>
      <c r="P51">
        <v>6.9</v>
      </c>
      <c r="Q51">
        <v>3.3</v>
      </c>
    </row>
    <row r="52" spans="1:17" x14ac:dyDescent="0.25">
      <c r="A52" t="s">
        <v>197</v>
      </c>
      <c r="B52" s="1">
        <v>45077</v>
      </c>
      <c r="C52" t="s">
        <v>259</v>
      </c>
      <c r="D52">
        <v>2023</v>
      </c>
      <c r="E52" t="s">
        <v>44</v>
      </c>
      <c r="F52" t="s">
        <v>37</v>
      </c>
      <c r="G52" t="s">
        <v>47</v>
      </c>
      <c r="H52">
        <v>9</v>
      </c>
      <c r="I52">
        <v>0</v>
      </c>
      <c r="J52">
        <v>0</v>
      </c>
      <c r="K52">
        <v>0</v>
      </c>
      <c r="L52" t="s">
        <v>69</v>
      </c>
      <c r="M52" t="s">
        <v>34</v>
      </c>
      <c r="N52" t="s">
        <v>265</v>
      </c>
      <c r="O52" t="s">
        <v>19</v>
      </c>
      <c r="P52">
        <v>12.99</v>
      </c>
      <c r="Q52">
        <v>7.6</v>
      </c>
    </row>
    <row r="53" spans="1:17" x14ac:dyDescent="0.25">
      <c r="A53" t="s">
        <v>199</v>
      </c>
      <c r="B53" s="1">
        <v>45216</v>
      </c>
      <c r="C53" t="s">
        <v>251</v>
      </c>
      <c r="D53">
        <v>2023</v>
      </c>
      <c r="E53" t="s">
        <v>65</v>
      </c>
      <c r="F53" t="s">
        <v>37</v>
      </c>
      <c r="G53" t="s">
        <v>29</v>
      </c>
      <c r="H53">
        <v>13</v>
      </c>
      <c r="I53">
        <v>0</v>
      </c>
      <c r="J53">
        <v>0</v>
      </c>
      <c r="K53">
        <v>0</v>
      </c>
      <c r="L53" t="s">
        <v>30</v>
      </c>
      <c r="M53" t="s">
        <v>31</v>
      </c>
      <c r="N53" t="s">
        <v>265</v>
      </c>
      <c r="O53" t="s">
        <v>19</v>
      </c>
      <c r="P53">
        <v>12.17</v>
      </c>
      <c r="Q53">
        <v>6.66</v>
      </c>
    </row>
    <row r="54" spans="1:17" x14ac:dyDescent="0.25">
      <c r="A54" t="s">
        <v>203</v>
      </c>
      <c r="B54" s="1">
        <v>44944</v>
      </c>
      <c r="C54" t="s">
        <v>253</v>
      </c>
      <c r="D54">
        <v>2023</v>
      </c>
      <c r="E54" t="s">
        <v>33</v>
      </c>
      <c r="F54" t="s">
        <v>22</v>
      </c>
      <c r="G54" t="s">
        <v>47</v>
      </c>
      <c r="H54">
        <v>25</v>
      </c>
      <c r="I54">
        <v>0</v>
      </c>
      <c r="J54">
        <v>0</v>
      </c>
      <c r="K54">
        <v>0</v>
      </c>
      <c r="L54" t="s">
        <v>69</v>
      </c>
      <c r="M54" t="s">
        <v>25</v>
      </c>
      <c r="N54" t="s">
        <v>265</v>
      </c>
      <c r="O54" t="s">
        <v>39</v>
      </c>
      <c r="P54">
        <v>4.75</v>
      </c>
      <c r="Q54">
        <v>7.01</v>
      </c>
    </row>
    <row r="55" spans="1:17" x14ac:dyDescent="0.25">
      <c r="A55" t="s">
        <v>208</v>
      </c>
      <c r="B55" s="1">
        <v>45057</v>
      </c>
      <c r="C55" t="s">
        <v>259</v>
      </c>
      <c r="D55">
        <v>2023</v>
      </c>
      <c r="E55" t="s">
        <v>36</v>
      </c>
      <c r="F55" t="s">
        <v>37</v>
      </c>
      <c r="G55" t="s">
        <v>56</v>
      </c>
      <c r="H55">
        <v>19</v>
      </c>
      <c r="I55">
        <v>0</v>
      </c>
      <c r="J55">
        <v>0</v>
      </c>
      <c r="K55">
        <v>0</v>
      </c>
      <c r="L55" t="s">
        <v>17</v>
      </c>
      <c r="M55" t="s">
        <v>25</v>
      </c>
      <c r="N55" t="s">
        <v>266</v>
      </c>
      <c r="O55" t="s">
        <v>39</v>
      </c>
      <c r="P55">
        <v>10.52</v>
      </c>
      <c r="Q55">
        <v>7.44</v>
      </c>
    </row>
    <row r="56" spans="1:17" x14ac:dyDescent="0.25">
      <c r="A56" t="s">
        <v>216</v>
      </c>
      <c r="B56" s="1">
        <v>44986</v>
      </c>
      <c r="C56" t="s">
        <v>256</v>
      </c>
      <c r="D56">
        <v>2023</v>
      </c>
      <c r="E56" t="s">
        <v>36</v>
      </c>
      <c r="F56" t="s">
        <v>37</v>
      </c>
      <c r="G56" t="s">
        <v>38</v>
      </c>
      <c r="H56">
        <v>21</v>
      </c>
      <c r="I56">
        <v>0</v>
      </c>
      <c r="J56">
        <v>0</v>
      </c>
      <c r="K56">
        <v>0</v>
      </c>
      <c r="L56" t="s">
        <v>69</v>
      </c>
      <c r="M56" t="s">
        <v>34</v>
      </c>
      <c r="N56" t="s">
        <v>265</v>
      </c>
      <c r="O56" t="s">
        <v>19</v>
      </c>
      <c r="P56">
        <v>10.52</v>
      </c>
      <c r="Q56">
        <v>7.44</v>
      </c>
    </row>
    <row r="57" spans="1:17" x14ac:dyDescent="0.25">
      <c r="A57" t="s">
        <v>217</v>
      </c>
      <c r="B57" s="1">
        <v>44935</v>
      </c>
      <c r="C57" t="s">
        <v>253</v>
      </c>
      <c r="D57">
        <v>2023</v>
      </c>
      <c r="E57" t="s">
        <v>52</v>
      </c>
      <c r="F57" t="s">
        <v>37</v>
      </c>
      <c r="G57" t="s">
        <v>56</v>
      </c>
      <c r="H57">
        <v>8</v>
      </c>
      <c r="I57">
        <v>0</v>
      </c>
      <c r="J57">
        <v>0</v>
      </c>
      <c r="K57">
        <v>0</v>
      </c>
      <c r="L57" t="s">
        <v>24</v>
      </c>
      <c r="M57" t="s">
        <v>31</v>
      </c>
      <c r="N57" t="s">
        <v>267</v>
      </c>
      <c r="O57" t="s">
        <v>19</v>
      </c>
      <c r="P57">
        <v>12</v>
      </c>
      <c r="Q57">
        <v>8.52</v>
      </c>
    </row>
    <row r="58" spans="1:17" x14ac:dyDescent="0.25">
      <c r="A58" t="s">
        <v>218</v>
      </c>
      <c r="B58" s="1">
        <v>45414</v>
      </c>
      <c r="C58" t="s">
        <v>259</v>
      </c>
      <c r="D58">
        <v>2024</v>
      </c>
      <c r="E58" t="s">
        <v>49</v>
      </c>
      <c r="F58" t="s">
        <v>50</v>
      </c>
      <c r="G58" t="s">
        <v>47</v>
      </c>
      <c r="H58">
        <v>8</v>
      </c>
      <c r="I58">
        <v>0</v>
      </c>
      <c r="J58">
        <v>0</v>
      </c>
      <c r="K58">
        <v>0</v>
      </c>
      <c r="L58" t="s">
        <v>30</v>
      </c>
      <c r="M58" t="s">
        <v>31</v>
      </c>
      <c r="N58" t="s">
        <v>265</v>
      </c>
      <c r="O58" t="s">
        <v>19</v>
      </c>
      <c r="P58">
        <v>7.38</v>
      </c>
      <c r="Q58">
        <v>3.93</v>
      </c>
    </row>
    <row r="59" spans="1:17" x14ac:dyDescent="0.25">
      <c r="A59" t="s">
        <v>219</v>
      </c>
      <c r="B59" s="1">
        <v>45273</v>
      </c>
      <c r="C59" t="s">
        <v>262</v>
      </c>
      <c r="D59">
        <v>2023</v>
      </c>
      <c r="E59" t="s">
        <v>44</v>
      </c>
      <c r="F59" t="s">
        <v>37</v>
      </c>
      <c r="G59" t="s">
        <v>29</v>
      </c>
      <c r="H59">
        <v>39</v>
      </c>
      <c r="I59">
        <v>0</v>
      </c>
      <c r="J59">
        <v>0</v>
      </c>
      <c r="K59">
        <v>0</v>
      </c>
      <c r="L59" t="s">
        <v>24</v>
      </c>
      <c r="M59" t="s">
        <v>18</v>
      </c>
      <c r="N59" t="s">
        <v>267</v>
      </c>
      <c r="O59" t="s">
        <v>19</v>
      </c>
      <c r="P59">
        <v>12.99</v>
      </c>
      <c r="Q59">
        <v>7.6</v>
      </c>
    </row>
    <row r="60" spans="1:17" x14ac:dyDescent="0.25">
      <c r="A60" t="s">
        <v>222</v>
      </c>
      <c r="B60" s="1">
        <v>45255</v>
      </c>
      <c r="C60" t="s">
        <v>260</v>
      </c>
      <c r="D60">
        <v>2023</v>
      </c>
      <c r="E60" t="s">
        <v>61</v>
      </c>
      <c r="F60" t="s">
        <v>28</v>
      </c>
      <c r="G60" t="s">
        <v>38</v>
      </c>
      <c r="H60">
        <v>22</v>
      </c>
      <c r="I60">
        <v>0</v>
      </c>
      <c r="J60">
        <v>0</v>
      </c>
      <c r="K60">
        <v>0</v>
      </c>
      <c r="L60" t="s">
        <v>24</v>
      </c>
      <c r="M60" t="s">
        <v>18</v>
      </c>
      <c r="N60" t="s">
        <v>267</v>
      </c>
      <c r="O60" t="s">
        <v>19</v>
      </c>
      <c r="P60">
        <v>9.07</v>
      </c>
      <c r="Q60">
        <v>7.49</v>
      </c>
    </row>
    <row r="61" spans="1:17" x14ac:dyDescent="0.25">
      <c r="A61" t="s">
        <v>225</v>
      </c>
      <c r="B61" s="1">
        <v>45136</v>
      </c>
      <c r="C61" t="s">
        <v>261</v>
      </c>
      <c r="D61">
        <v>2023</v>
      </c>
      <c r="E61" t="s">
        <v>14</v>
      </c>
      <c r="F61" t="s">
        <v>15</v>
      </c>
      <c r="G61" t="s">
        <v>47</v>
      </c>
      <c r="H61">
        <v>16</v>
      </c>
      <c r="I61">
        <v>0</v>
      </c>
      <c r="J61">
        <v>0</v>
      </c>
      <c r="K61">
        <v>0</v>
      </c>
      <c r="L61" t="s">
        <v>17</v>
      </c>
      <c r="M61" t="s">
        <v>18</v>
      </c>
      <c r="N61" t="s">
        <v>266</v>
      </c>
      <c r="O61" t="s">
        <v>19</v>
      </c>
      <c r="P61">
        <v>6.21</v>
      </c>
      <c r="Q61">
        <v>7.07</v>
      </c>
    </row>
    <row r="62" spans="1:17" x14ac:dyDescent="0.25">
      <c r="A62" t="s">
        <v>227</v>
      </c>
      <c r="B62" s="1">
        <v>45266</v>
      </c>
      <c r="C62" t="s">
        <v>262</v>
      </c>
      <c r="D62">
        <v>2023</v>
      </c>
      <c r="E62" t="s">
        <v>65</v>
      </c>
      <c r="F62" t="s">
        <v>37</v>
      </c>
      <c r="G62" t="s">
        <v>23</v>
      </c>
      <c r="H62">
        <v>9</v>
      </c>
      <c r="I62">
        <v>0</v>
      </c>
      <c r="J62">
        <v>0</v>
      </c>
      <c r="K62">
        <v>0</v>
      </c>
      <c r="L62" t="s">
        <v>69</v>
      </c>
      <c r="M62" t="s">
        <v>34</v>
      </c>
      <c r="N62" t="s">
        <v>265</v>
      </c>
      <c r="O62" t="s">
        <v>39</v>
      </c>
      <c r="P62">
        <v>12.17</v>
      </c>
      <c r="Q62">
        <v>6.66</v>
      </c>
    </row>
    <row r="63" spans="1:17" x14ac:dyDescent="0.25">
      <c r="A63" t="s">
        <v>231</v>
      </c>
      <c r="B63" s="1">
        <v>44997</v>
      </c>
      <c r="C63" t="s">
        <v>256</v>
      </c>
      <c r="D63">
        <v>2023</v>
      </c>
      <c r="E63" t="s">
        <v>33</v>
      </c>
      <c r="F63" t="s">
        <v>22</v>
      </c>
      <c r="G63" t="s">
        <v>56</v>
      </c>
      <c r="H63">
        <v>27</v>
      </c>
      <c r="I63">
        <v>0</v>
      </c>
      <c r="J63">
        <v>0</v>
      </c>
      <c r="K63">
        <v>0</v>
      </c>
      <c r="L63" t="s">
        <v>17</v>
      </c>
      <c r="M63" t="s">
        <v>18</v>
      </c>
      <c r="N63" t="s">
        <v>266</v>
      </c>
      <c r="O63" t="s">
        <v>19</v>
      </c>
      <c r="P63">
        <v>4.75</v>
      </c>
      <c r="Q63">
        <v>7.01</v>
      </c>
    </row>
    <row r="64" spans="1:17" x14ac:dyDescent="0.25">
      <c r="A64" t="s">
        <v>232</v>
      </c>
      <c r="B64" s="1">
        <v>45164</v>
      </c>
      <c r="C64" t="s">
        <v>254</v>
      </c>
      <c r="D64">
        <v>2023</v>
      </c>
      <c r="E64" t="s">
        <v>52</v>
      </c>
      <c r="F64" t="s">
        <v>37</v>
      </c>
      <c r="G64" t="s">
        <v>56</v>
      </c>
      <c r="H64">
        <v>29</v>
      </c>
      <c r="I64">
        <v>0</v>
      </c>
      <c r="J64">
        <v>0</v>
      </c>
      <c r="K64">
        <v>0</v>
      </c>
      <c r="L64" t="s">
        <v>24</v>
      </c>
      <c r="M64" t="s">
        <v>25</v>
      </c>
      <c r="N64" t="s">
        <v>267</v>
      </c>
      <c r="O64" t="s">
        <v>19</v>
      </c>
      <c r="P64">
        <v>12</v>
      </c>
      <c r="Q64">
        <v>8.52</v>
      </c>
    </row>
    <row r="65" spans="1:17" x14ac:dyDescent="0.25">
      <c r="A65" t="s">
        <v>239</v>
      </c>
      <c r="B65" s="1">
        <v>45033</v>
      </c>
      <c r="C65" t="s">
        <v>258</v>
      </c>
      <c r="D65">
        <v>2023</v>
      </c>
      <c r="E65" t="s">
        <v>61</v>
      </c>
      <c r="F65" t="s">
        <v>28</v>
      </c>
      <c r="G65" t="s">
        <v>16</v>
      </c>
      <c r="H65">
        <v>12</v>
      </c>
      <c r="I65">
        <v>0</v>
      </c>
      <c r="J65">
        <v>0</v>
      </c>
      <c r="K65">
        <v>0</v>
      </c>
      <c r="L65" t="s">
        <v>30</v>
      </c>
      <c r="M65" t="s">
        <v>31</v>
      </c>
      <c r="N65" t="s">
        <v>265</v>
      </c>
      <c r="O65" t="s">
        <v>19</v>
      </c>
      <c r="P65">
        <v>9.07</v>
      </c>
      <c r="Q65">
        <v>7.49</v>
      </c>
    </row>
    <row r="66" spans="1:17" x14ac:dyDescent="0.25">
      <c r="A66" t="s">
        <v>242</v>
      </c>
      <c r="B66" s="1">
        <v>45164</v>
      </c>
      <c r="C66" t="s">
        <v>254</v>
      </c>
      <c r="D66">
        <v>2023</v>
      </c>
      <c r="E66" t="s">
        <v>65</v>
      </c>
      <c r="F66" t="s">
        <v>37</v>
      </c>
      <c r="G66" t="s">
        <v>42</v>
      </c>
      <c r="H66">
        <v>20</v>
      </c>
      <c r="I66">
        <v>0</v>
      </c>
      <c r="J66">
        <v>0</v>
      </c>
      <c r="K66">
        <v>0</v>
      </c>
      <c r="L66" t="s">
        <v>24</v>
      </c>
      <c r="M66" t="s">
        <v>31</v>
      </c>
      <c r="N66" t="s">
        <v>267</v>
      </c>
      <c r="O66" t="s">
        <v>39</v>
      </c>
      <c r="P66">
        <v>12.17</v>
      </c>
      <c r="Q66">
        <v>6.66</v>
      </c>
    </row>
    <row r="67" spans="1:17" x14ac:dyDescent="0.25">
      <c r="A67" t="s">
        <v>243</v>
      </c>
      <c r="B67" s="1">
        <v>45172</v>
      </c>
      <c r="C67" t="s">
        <v>257</v>
      </c>
      <c r="D67">
        <v>2023</v>
      </c>
      <c r="E67" t="s">
        <v>61</v>
      </c>
      <c r="F67" t="s">
        <v>28</v>
      </c>
      <c r="G67" t="s">
        <v>16</v>
      </c>
      <c r="H67">
        <v>26</v>
      </c>
      <c r="I67">
        <v>0</v>
      </c>
      <c r="J67">
        <v>0</v>
      </c>
      <c r="K67">
        <v>0</v>
      </c>
      <c r="L67" t="s">
        <v>17</v>
      </c>
      <c r="M67" t="s">
        <v>18</v>
      </c>
      <c r="N67" t="s">
        <v>266</v>
      </c>
      <c r="O67" t="s">
        <v>19</v>
      </c>
      <c r="P67">
        <v>9.07</v>
      </c>
      <c r="Q67">
        <v>7.49</v>
      </c>
    </row>
    <row r="68" spans="1:17" x14ac:dyDescent="0.25">
      <c r="A68" t="s">
        <v>244</v>
      </c>
      <c r="B68" s="1">
        <v>45321</v>
      </c>
      <c r="C68" t="s">
        <v>253</v>
      </c>
      <c r="D68">
        <v>2024</v>
      </c>
      <c r="E68" t="s">
        <v>65</v>
      </c>
      <c r="F68" t="s">
        <v>37</v>
      </c>
      <c r="G68" t="s">
        <v>47</v>
      </c>
      <c r="H68">
        <v>6</v>
      </c>
      <c r="I68">
        <v>0</v>
      </c>
      <c r="J68">
        <v>0</v>
      </c>
      <c r="K68">
        <v>0</v>
      </c>
      <c r="L68" t="s">
        <v>30</v>
      </c>
      <c r="M68" t="s">
        <v>18</v>
      </c>
      <c r="N68" t="s">
        <v>265</v>
      </c>
      <c r="O68" t="s">
        <v>19</v>
      </c>
      <c r="P68">
        <v>12.17</v>
      </c>
      <c r="Q68">
        <v>6.66</v>
      </c>
    </row>
    <row r="69" spans="1:17" x14ac:dyDescent="0.25">
      <c r="A69" t="s">
        <v>245</v>
      </c>
      <c r="B69" s="1">
        <v>45131</v>
      </c>
      <c r="C69" t="s">
        <v>261</v>
      </c>
      <c r="D69">
        <v>2023</v>
      </c>
      <c r="E69" t="s">
        <v>65</v>
      </c>
      <c r="F69" t="s">
        <v>37</v>
      </c>
      <c r="G69" t="s">
        <v>47</v>
      </c>
      <c r="H69">
        <v>27</v>
      </c>
      <c r="I69">
        <v>0</v>
      </c>
      <c r="J69">
        <v>0</v>
      </c>
      <c r="K69">
        <v>0</v>
      </c>
      <c r="L69" t="s">
        <v>30</v>
      </c>
      <c r="M69" t="s">
        <v>25</v>
      </c>
      <c r="N69" t="s">
        <v>265</v>
      </c>
      <c r="O69" t="s">
        <v>39</v>
      </c>
      <c r="P69">
        <v>12.17</v>
      </c>
      <c r="Q69">
        <v>6.66</v>
      </c>
    </row>
    <row r="70" spans="1:17" x14ac:dyDescent="0.25">
      <c r="A70" t="s">
        <v>246</v>
      </c>
      <c r="B70" s="1">
        <v>45323</v>
      </c>
      <c r="C70" t="s">
        <v>255</v>
      </c>
      <c r="D70">
        <v>2024</v>
      </c>
      <c r="E70" t="s">
        <v>44</v>
      </c>
      <c r="F70" t="s">
        <v>37</v>
      </c>
      <c r="G70" t="s">
        <v>29</v>
      </c>
      <c r="H70">
        <v>5</v>
      </c>
      <c r="I70">
        <v>0</v>
      </c>
      <c r="J70">
        <v>0</v>
      </c>
      <c r="K70">
        <v>0</v>
      </c>
      <c r="L70" t="s">
        <v>30</v>
      </c>
      <c r="M70" t="s">
        <v>34</v>
      </c>
      <c r="N70" t="s">
        <v>265</v>
      </c>
      <c r="O70" t="s">
        <v>39</v>
      </c>
      <c r="P70">
        <v>12.99</v>
      </c>
      <c r="Q70">
        <v>7.6</v>
      </c>
    </row>
    <row r="71" spans="1:17" x14ac:dyDescent="0.25">
      <c r="A71" t="s">
        <v>248</v>
      </c>
      <c r="B71" s="1">
        <v>45015</v>
      </c>
      <c r="C71" t="s">
        <v>256</v>
      </c>
      <c r="D71">
        <v>2023</v>
      </c>
      <c r="E71" t="s">
        <v>61</v>
      </c>
      <c r="F71" t="s">
        <v>28</v>
      </c>
      <c r="G71" t="s">
        <v>23</v>
      </c>
      <c r="H71">
        <v>32</v>
      </c>
      <c r="I71">
        <v>0</v>
      </c>
      <c r="J71">
        <v>0</v>
      </c>
      <c r="K71">
        <v>0</v>
      </c>
      <c r="L71" t="s">
        <v>17</v>
      </c>
      <c r="M71" t="s">
        <v>25</v>
      </c>
      <c r="N71" t="s">
        <v>266</v>
      </c>
      <c r="O71" t="s">
        <v>19</v>
      </c>
      <c r="P71">
        <v>9.07</v>
      </c>
      <c r="Q71">
        <v>7.49</v>
      </c>
    </row>
    <row r="72" spans="1:17" x14ac:dyDescent="0.25">
      <c r="A72" t="s">
        <v>13</v>
      </c>
      <c r="B72" s="1">
        <v>45228</v>
      </c>
      <c r="C72" t="s">
        <v>251</v>
      </c>
      <c r="D72">
        <v>2023</v>
      </c>
      <c r="E72" t="s">
        <v>14</v>
      </c>
      <c r="F72" t="s">
        <v>15</v>
      </c>
      <c r="G72" t="s">
        <v>16</v>
      </c>
      <c r="H72">
        <v>35</v>
      </c>
      <c r="I72">
        <v>72497088</v>
      </c>
      <c r="J72">
        <v>0</v>
      </c>
      <c r="K72">
        <v>72497088</v>
      </c>
      <c r="L72" t="s">
        <v>17</v>
      </c>
      <c r="M72" t="s">
        <v>18</v>
      </c>
      <c r="N72" t="s">
        <v>266</v>
      </c>
      <c r="O72" t="s">
        <v>19</v>
      </c>
      <c r="P72">
        <v>6.21</v>
      </c>
      <c r="Q72">
        <v>7.07</v>
      </c>
    </row>
    <row r="73" spans="1:17" x14ac:dyDescent="0.25">
      <c r="A73" t="s">
        <v>20</v>
      </c>
      <c r="B73" s="1">
        <v>45091</v>
      </c>
      <c r="C73" t="s">
        <v>252</v>
      </c>
      <c r="D73">
        <v>2023</v>
      </c>
      <c r="E73" t="s">
        <v>21</v>
      </c>
      <c r="F73" t="s">
        <v>22</v>
      </c>
      <c r="G73" t="s">
        <v>23</v>
      </c>
      <c r="H73">
        <v>33</v>
      </c>
      <c r="I73">
        <v>77888592</v>
      </c>
      <c r="J73">
        <v>0</v>
      </c>
      <c r="K73">
        <v>77888592</v>
      </c>
      <c r="L73" t="s">
        <v>24</v>
      </c>
      <c r="M73" t="s">
        <v>25</v>
      </c>
      <c r="N73" t="s">
        <v>267</v>
      </c>
      <c r="O73" t="s">
        <v>19</v>
      </c>
      <c r="P73">
        <v>5.7</v>
      </c>
      <c r="Q73">
        <v>5.9</v>
      </c>
    </row>
    <row r="74" spans="1:17" x14ac:dyDescent="0.25">
      <c r="A74" t="s">
        <v>40</v>
      </c>
      <c r="B74" s="1">
        <v>45012</v>
      </c>
      <c r="C74" t="s">
        <v>256</v>
      </c>
      <c r="D74">
        <v>2023</v>
      </c>
      <c r="E74" t="s">
        <v>33</v>
      </c>
      <c r="F74" t="s">
        <v>22</v>
      </c>
      <c r="G74" t="s">
        <v>23</v>
      </c>
      <c r="H74">
        <v>32</v>
      </c>
      <c r="I74">
        <v>75745312</v>
      </c>
      <c r="J74">
        <v>0</v>
      </c>
      <c r="K74">
        <v>75745312</v>
      </c>
      <c r="L74" t="s">
        <v>24</v>
      </c>
      <c r="M74" t="s">
        <v>31</v>
      </c>
      <c r="N74" t="s">
        <v>267</v>
      </c>
      <c r="O74" t="s">
        <v>39</v>
      </c>
      <c r="P74">
        <v>4.75</v>
      </c>
      <c r="Q74">
        <v>7.01</v>
      </c>
    </row>
    <row r="75" spans="1:17" x14ac:dyDescent="0.25">
      <c r="A75" t="s">
        <v>53</v>
      </c>
      <c r="B75" s="1">
        <v>45320</v>
      </c>
      <c r="C75" t="s">
        <v>253</v>
      </c>
      <c r="D75">
        <v>2024</v>
      </c>
      <c r="E75" t="s">
        <v>54</v>
      </c>
      <c r="F75" t="s">
        <v>55</v>
      </c>
      <c r="G75" t="s">
        <v>56</v>
      </c>
      <c r="H75">
        <v>5</v>
      </c>
      <c r="I75">
        <v>50380697</v>
      </c>
      <c r="J75">
        <v>0</v>
      </c>
      <c r="K75">
        <v>50380697</v>
      </c>
      <c r="L75" t="s">
        <v>24</v>
      </c>
      <c r="M75" t="s">
        <v>25</v>
      </c>
      <c r="N75" t="s">
        <v>267</v>
      </c>
      <c r="O75" t="s">
        <v>19</v>
      </c>
      <c r="P75">
        <v>11.83</v>
      </c>
      <c r="Q75">
        <v>13.15</v>
      </c>
    </row>
    <row r="76" spans="1:17" x14ac:dyDescent="0.25">
      <c r="A76" t="s">
        <v>57</v>
      </c>
      <c r="B76" s="1">
        <v>45253</v>
      </c>
      <c r="C76" t="s">
        <v>260</v>
      </c>
      <c r="D76">
        <v>2023</v>
      </c>
      <c r="E76" t="s">
        <v>58</v>
      </c>
      <c r="F76" t="s">
        <v>50</v>
      </c>
      <c r="G76" t="s">
        <v>29</v>
      </c>
      <c r="H76">
        <v>33</v>
      </c>
      <c r="I76">
        <v>92733780</v>
      </c>
      <c r="J76">
        <v>0</v>
      </c>
      <c r="K76">
        <v>92733780</v>
      </c>
      <c r="L76" t="s">
        <v>17</v>
      </c>
      <c r="M76" t="s">
        <v>25</v>
      </c>
      <c r="N76" t="s">
        <v>266</v>
      </c>
      <c r="O76" t="s">
        <v>19</v>
      </c>
      <c r="P76">
        <v>6.9</v>
      </c>
      <c r="Q76">
        <v>3.3</v>
      </c>
    </row>
    <row r="77" spans="1:17" x14ac:dyDescent="0.25">
      <c r="A77" t="s">
        <v>60</v>
      </c>
      <c r="B77" s="1">
        <v>45106</v>
      </c>
      <c r="C77" t="s">
        <v>252</v>
      </c>
      <c r="D77">
        <v>2023</v>
      </c>
      <c r="E77" t="s">
        <v>61</v>
      </c>
      <c r="F77" t="s">
        <v>28</v>
      </c>
      <c r="G77" t="s">
        <v>47</v>
      </c>
      <c r="H77">
        <v>31</v>
      </c>
      <c r="I77">
        <v>21837137</v>
      </c>
      <c r="J77">
        <v>0</v>
      </c>
      <c r="K77">
        <v>21837137</v>
      </c>
      <c r="L77" t="s">
        <v>17</v>
      </c>
      <c r="M77" t="s">
        <v>31</v>
      </c>
      <c r="N77" t="s">
        <v>266</v>
      </c>
      <c r="O77" t="s">
        <v>39</v>
      </c>
      <c r="P77">
        <v>9.07</v>
      </c>
      <c r="Q77">
        <v>7.49</v>
      </c>
    </row>
    <row r="78" spans="1:17" x14ac:dyDescent="0.25">
      <c r="A78" t="s">
        <v>63</v>
      </c>
      <c r="B78" s="1">
        <v>45213</v>
      </c>
      <c r="C78" t="s">
        <v>251</v>
      </c>
      <c r="D78">
        <v>2023</v>
      </c>
      <c r="E78" t="s">
        <v>36</v>
      </c>
      <c r="F78" t="s">
        <v>37</v>
      </c>
      <c r="G78" t="s">
        <v>38</v>
      </c>
      <c r="H78">
        <v>27</v>
      </c>
      <c r="I78">
        <v>102642847</v>
      </c>
      <c r="J78">
        <v>0</v>
      </c>
      <c r="K78">
        <v>102642847</v>
      </c>
      <c r="L78" t="s">
        <v>17</v>
      </c>
      <c r="M78" t="s">
        <v>25</v>
      </c>
      <c r="N78" t="s">
        <v>266</v>
      </c>
      <c r="O78" t="s">
        <v>19</v>
      </c>
      <c r="P78">
        <v>10.52</v>
      </c>
      <c r="Q78">
        <v>7.44</v>
      </c>
    </row>
    <row r="79" spans="1:17" x14ac:dyDescent="0.25">
      <c r="A79" t="s">
        <v>64</v>
      </c>
      <c r="B79" s="1">
        <v>45196</v>
      </c>
      <c r="C79" t="s">
        <v>257</v>
      </c>
      <c r="D79">
        <v>2023</v>
      </c>
      <c r="E79" t="s">
        <v>65</v>
      </c>
      <c r="F79" t="s">
        <v>37</v>
      </c>
      <c r="G79" t="s">
        <v>29</v>
      </c>
      <c r="H79">
        <v>32</v>
      </c>
      <c r="I79">
        <v>145308817</v>
      </c>
      <c r="J79">
        <v>0</v>
      </c>
      <c r="K79">
        <v>145308817</v>
      </c>
      <c r="L79" t="s">
        <v>30</v>
      </c>
      <c r="M79" t="s">
        <v>25</v>
      </c>
      <c r="N79" t="s">
        <v>265</v>
      </c>
      <c r="O79" t="s">
        <v>39</v>
      </c>
      <c r="P79">
        <v>12.17</v>
      </c>
      <c r="Q79">
        <v>6.66</v>
      </c>
    </row>
    <row r="80" spans="1:17" x14ac:dyDescent="0.25">
      <c r="A80" t="s">
        <v>71</v>
      </c>
      <c r="B80" s="1">
        <v>45092</v>
      </c>
      <c r="C80" t="s">
        <v>252</v>
      </c>
      <c r="D80">
        <v>2023</v>
      </c>
      <c r="E80" t="s">
        <v>52</v>
      </c>
      <c r="F80" t="s">
        <v>37</v>
      </c>
      <c r="G80" t="s">
        <v>16</v>
      </c>
      <c r="H80">
        <v>36</v>
      </c>
      <c r="I80">
        <v>47825360</v>
      </c>
      <c r="J80">
        <v>0</v>
      </c>
      <c r="K80">
        <v>47825360</v>
      </c>
      <c r="L80" t="s">
        <v>17</v>
      </c>
      <c r="M80" t="s">
        <v>34</v>
      </c>
      <c r="N80" t="s">
        <v>266</v>
      </c>
      <c r="O80" t="s">
        <v>19</v>
      </c>
      <c r="P80">
        <v>12</v>
      </c>
      <c r="Q80">
        <v>8.52</v>
      </c>
    </row>
    <row r="81" spans="1:17" x14ac:dyDescent="0.25">
      <c r="A81" t="s">
        <v>74</v>
      </c>
      <c r="B81" s="1">
        <v>44937</v>
      </c>
      <c r="C81" t="s">
        <v>253</v>
      </c>
      <c r="D81">
        <v>2023</v>
      </c>
      <c r="E81" t="s">
        <v>54</v>
      </c>
      <c r="F81" t="s">
        <v>55</v>
      </c>
      <c r="G81" t="s">
        <v>16</v>
      </c>
      <c r="H81">
        <v>39</v>
      </c>
      <c r="I81">
        <v>96870496</v>
      </c>
      <c r="J81">
        <v>0</v>
      </c>
      <c r="K81">
        <v>96870496</v>
      </c>
      <c r="L81" t="s">
        <v>30</v>
      </c>
      <c r="M81" t="s">
        <v>18</v>
      </c>
      <c r="N81" t="s">
        <v>265</v>
      </c>
      <c r="O81" t="s">
        <v>39</v>
      </c>
      <c r="P81">
        <v>11.83</v>
      </c>
      <c r="Q81">
        <v>13.15</v>
      </c>
    </row>
    <row r="82" spans="1:17" x14ac:dyDescent="0.25">
      <c r="A82" t="s">
        <v>76</v>
      </c>
      <c r="B82" s="1">
        <v>45271</v>
      </c>
      <c r="C82" t="s">
        <v>262</v>
      </c>
      <c r="D82">
        <v>2023</v>
      </c>
      <c r="E82" t="s">
        <v>58</v>
      </c>
      <c r="F82" t="s">
        <v>50</v>
      </c>
      <c r="G82" t="s">
        <v>23</v>
      </c>
      <c r="H82">
        <v>20</v>
      </c>
      <c r="I82">
        <v>65684623</v>
      </c>
      <c r="J82">
        <v>0</v>
      </c>
      <c r="K82">
        <v>65684623</v>
      </c>
      <c r="L82" t="s">
        <v>30</v>
      </c>
      <c r="M82" t="s">
        <v>31</v>
      </c>
      <c r="N82" t="s">
        <v>265</v>
      </c>
      <c r="O82" t="s">
        <v>19</v>
      </c>
      <c r="P82">
        <v>6.9</v>
      </c>
      <c r="Q82">
        <v>3.3</v>
      </c>
    </row>
    <row r="83" spans="1:17" x14ac:dyDescent="0.25">
      <c r="A83" t="s">
        <v>79</v>
      </c>
      <c r="B83" s="1">
        <v>45381</v>
      </c>
      <c r="C83" t="s">
        <v>256</v>
      </c>
      <c r="D83">
        <v>2024</v>
      </c>
      <c r="E83" t="s">
        <v>49</v>
      </c>
      <c r="F83" t="s">
        <v>50</v>
      </c>
      <c r="G83" t="s">
        <v>29</v>
      </c>
      <c r="H83">
        <v>26</v>
      </c>
      <c r="I83">
        <v>42890213</v>
      </c>
      <c r="J83">
        <v>0</v>
      </c>
      <c r="K83">
        <v>42890213</v>
      </c>
      <c r="L83" t="s">
        <v>30</v>
      </c>
      <c r="M83" t="s">
        <v>31</v>
      </c>
      <c r="N83" t="s">
        <v>265</v>
      </c>
      <c r="O83" t="s">
        <v>19</v>
      </c>
      <c r="P83">
        <v>7.38</v>
      </c>
      <c r="Q83">
        <v>3.93</v>
      </c>
    </row>
    <row r="84" spans="1:17" x14ac:dyDescent="0.25">
      <c r="A84" t="s">
        <v>80</v>
      </c>
      <c r="B84" s="1">
        <v>45202</v>
      </c>
      <c r="C84" t="s">
        <v>251</v>
      </c>
      <c r="D84">
        <v>2023</v>
      </c>
      <c r="E84" t="s">
        <v>58</v>
      </c>
      <c r="F84" t="s">
        <v>50</v>
      </c>
      <c r="G84" t="s">
        <v>16</v>
      </c>
      <c r="H84">
        <v>25</v>
      </c>
      <c r="I84">
        <v>125713988</v>
      </c>
      <c r="J84">
        <v>0</v>
      </c>
      <c r="K84">
        <v>125713988</v>
      </c>
      <c r="L84" t="s">
        <v>30</v>
      </c>
      <c r="M84" t="s">
        <v>18</v>
      </c>
      <c r="N84" t="s">
        <v>265</v>
      </c>
      <c r="O84" t="s">
        <v>39</v>
      </c>
      <c r="P84">
        <v>6.9</v>
      </c>
      <c r="Q84">
        <v>3.3</v>
      </c>
    </row>
    <row r="85" spans="1:17" x14ac:dyDescent="0.25">
      <c r="A85" t="s">
        <v>82</v>
      </c>
      <c r="B85" s="1">
        <v>44982</v>
      </c>
      <c r="C85" t="s">
        <v>255</v>
      </c>
      <c r="D85">
        <v>2023</v>
      </c>
      <c r="E85" t="s">
        <v>52</v>
      </c>
      <c r="F85" t="s">
        <v>37</v>
      </c>
      <c r="G85" t="s">
        <v>29</v>
      </c>
      <c r="H85">
        <v>13</v>
      </c>
      <c r="I85">
        <v>126039628</v>
      </c>
      <c r="J85">
        <v>0</v>
      </c>
      <c r="K85">
        <v>126039628</v>
      </c>
      <c r="L85" t="s">
        <v>69</v>
      </c>
      <c r="M85" t="s">
        <v>34</v>
      </c>
      <c r="N85" t="s">
        <v>265</v>
      </c>
      <c r="O85" t="s">
        <v>19</v>
      </c>
      <c r="P85">
        <v>12</v>
      </c>
      <c r="Q85">
        <v>8.52</v>
      </c>
    </row>
    <row r="86" spans="1:17" x14ac:dyDescent="0.25">
      <c r="A86" t="s">
        <v>88</v>
      </c>
      <c r="B86" s="1">
        <v>44998</v>
      </c>
      <c r="C86" t="s">
        <v>256</v>
      </c>
      <c r="D86">
        <v>2023</v>
      </c>
      <c r="E86" t="s">
        <v>36</v>
      </c>
      <c r="F86" t="s">
        <v>37</v>
      </c>
      <c r="G86" t="s">
        <v>23</v>
      </c>
      <c r="H86">
        <v>14</v>
      </c>
      <c r="I86">
        <v>34358871</v>
      </c>
      <c r="J86">
        <v>0</v>
      </c>
      <c r="K86">
        <v>34358871</v>
      </c>
      <c r="L86" t="s">
        <v>24</v>
      </c>
      <c r="M86" t="s">
        <v>25</v>
      </c>
      <c r="N86" t="s">
        <v>267</v>
      </c>
      <c r="O86" t="s">
        <v>19</v>
      </c>
      <c r="P86">
        <v>10.52</v>
      </c>
      <c r="Q86">
        <v>7.44</v>
      </c>
    </row>
    <row r="87" spans="1:17" x14ac:dyDescent="0.25">
      <c r="A87" t="s">
        <v>89</v>
      </c>
      <c r="B87" s="1">
        <v>45195</v>
      </c>
      <c r="C87" t="s">
        <v>257</v>
      </c>
      <c r="D87">
        <v>2023</v>
      </c>
      <c r="E87" t="s">
        <v>14</v>
      </c>
      <c r="F87" t="s">
        <v>15</v>
      </c>
      <c r="G87" t="s">
        <v>38</v>
      </c>
      <c r="H87">
        <v>17</v>
      </c>
      <c r="I87">
        <v>30087558</v>
      </c>
      <c r="J87">
        <v>0</v>
      </c>
      <c r="K87">
        <v>30087558</v>
      </c>
      <c r="L87" t="s">
        <v>17</v>
      </c>
      <c r="M87" t="s">
        <v>25</v>
      </c>
      <c r="N87" t="s">
        <v>266</v>
      </c>
      <c r="O87" t="s">
        <v>19</v>
      </c>
      <c r="P87">
        <v>6.21</v>
      </c>
      <c r="Q87">
        <v>7.07</v>
      </c>
    </row>
    <row r="88" spans="1:17" x14ac:dyDescent="0.25">
      <c r="A88" t="s">
        <v>96</v>
      </c>
      <c r="B88" s="1">
        <v>45011</v>
      </c>
      <c r="C88" t="s">
        <v>256</v>
      </c>
      <c r="D88">
        <v>2023</v>
      </c>
      <c r="E88" t="s">
        <v>61</v>
      </c>
      <c r="F88" t="s">
        <v>28</v>
      </c>
      <c r="G88" t="s">
        <v>42</v>
      </c>
      <c r="H88">
        <v>36</v>
      </c>
      <c r="I88">
        <v>131654088</v>
      </c>
      <c r="J88">
        <v>0</v>
      </c>
      <c r="K88">
        <v>131654088</v>
      </c>
      <c r="L88" t="s">
        <v>69</v>
      </c>
      <c r="M88" t="s">
        <v>18</v>
      </c>
      <c r="N88" t="s">
        <v>265</v>
      </c>
      <c r="O88" t="s">
        <v>39</v>
      </c>
      <c r="P88">
        <v>9.07</v>
      </c>
      <c r="Q88">
        <v>7.49</v>
      </c>
    </row>
    <row r="89" spans="1:17" x14ac:dyDescent="0.25">
      <c r="A89" t="s">
        <v>100</v>
      </c>
      <c r="B89" s="1">
        <v>45219</v>
      </c>
      <c r="C89" t="s">
        <v>251</v>
      </c>
      <c r="D89">
        <v>2023</v>
      </c>
      <c r="E89" t="s">
        <v>65</v>
      </c>
      <c r="F89" t="s">
        <v>37</v>
      </c>
      <c r="G89" t="s">
        <v>16</v>
      </c>
      <c r="H89">
        <v>37</v>
      </c>
      <c r="I89">
        <v>36546178</v>
      </c>
      <c r="J89">
        <v>0</v>
      </c>
      <c r="K89">
        <v>36546178</v>
      </c>
      <c r="L89" t="s">
        <v>17</v>
      </c>
      <c r="M89" t="s">
        <v>25</v>
      </c>
      <c r="N89" t="s">
        <v>266</v>
      </c>
      <c r="O89" t="s">
        <v>39</v>
      </c>
      <c r="P89">
        <v>12.17</v>
      </c>
      <c r="Q89">
        <v>6.66</v>
      </c>
    </row>
    <row r="90" spans="1:17" x14ac:dyDescent="0.25">
      <c r="A90" t="s">
        <v>103</v>
      </c>
      <c r="B90" s="1">
        <v>45277</v>
      </c>
      <c r="C90" t="s">
        <v>262</v>
      </c>
      <c r="D90">
        <v>2023</v>
      </c>
      <c r="E90" t="s">
        <v>65</v>
      </c>
      <c r="F90" t="s">
        <v>37</v>
      </c>
      <c r="G90" t="s">
        <v>56</v>
      </c>
      <c r="H90">
        <v>27</v>
      </c>
      <c r="I90">
        <v>121244091</v>
      </c>
      <c r="J90">
        <v>0</v>
      </c>
      <c r="K90">
        <v>121244091</v>
      </c>
      <c r="L90" t="s">
        <v>17</v>
      </c>
      <c r="M90" t="s">
        <v>25</v>
      </c>
      <c r="N90" t="s">
        <v>266</v>
      </c>
      <c r="O90" t="s">
        <v>19</v>
      </c>
      <c r="P90">
        <v>12.17</v>
      </c>
      <c r="Q90">
        <v>6.66</v>
      </c>
    </row>
    <row r="91" spans="1:17" x14ac:dyDescent="0.25">
      <c r="A91" t="s">
        <v>105</v>
      </c>
      <c r="B91" s="1">
        <v>45047</v>
      </c>
      <c r="C91" t="s">
        <v>259</v>
      </c>
      <c r="D91">
        <v>2023</v>
      </c>
      <c r="E91" t="s">
        <v>61</v>
      </c>
      <c r="F91" t="s">
        <v>28</v>
      </c>
      <c r="G91" t="s">
        <v>29</v>
      </c>
      <c r="H91">
        <v>39</v>
      </c>
      <c r="I91">
        <v>116143465</v>
      </c>
      <c r="J91">
        <v>0</v>
      </c>
      <c r="K91">
        <v>116143465</v>
      </c>
      <c r="L91" t="s">
        <v>24</v>
      </c>
      <c r="M91" t="s">
        <v>31</v>
      </c>
      <c r="N91" t="s">
        <v>267</v>
      </c>
      <c r="O91" t="s">
        <v>19</v>
      </c>
      <c r="P91">
        <v>9.07</v>
      </c>
      <c r="Q91">
        <v>7.49</v>
      </c>
    </row>
    <row r="92" spans="1:17" x14ac:dyDescent="0.25">
      <c r="A92" t="s">
        <v>106</v>
      </c>
      <c r="B92" s="1">
        <v>45246</v>
      </c>
      <c r="C92" t="s">
        <v>260</v>
      </c>
      <c r="D92">
        <v>2023</v>
      </c>
      <c r="E92" t="s">
        <v>36</v>
      </c>
      <c r="F92" t="s">
        <v>37</v>
      </c>
      <c r="G92" t="s">
        <v>56</v>
      </c>
      <c r="H92">
        <v>5</v>
      </c>
      <c r="I92">
        <v>82813467</v>
      </c>
      <c r="J92">
        <v>0</v>
      </c>
      <c r="K92">
        <v>82813467</v>
      </c>
      <c r="L92" t="s">
        <v>17</v>
      </c>
      <c r="M92" t="s">
        <v>34</v>
      </c>
      <c r="N92" t="s">
        <v>266</v>
      </c>
      <c r="O92" t="s">
        <v>39</v>
      </c>
      <c r="P92">
        <v>10.52</v>
      </c>
      <c r="Q92">
        <v>7.44</v>
      </c>
    </row>
    <row r="93" spans="1:17" x14ac:dyDescent="0.25">
      <c r="A93" t="s">
        <v>107</v>
      </c>
      <c r="B93" s="1">
        <v>45360</v>
      </c>
      <c r="C93" t="s">
        <v>256</v>
      </c>
      <c r="D93">
        <v>2024</v>
      </c>
      <c r="E93" t="s">
        <v>58</v>
      </c>
      <c r="F93" t="s">
        <v>50</v>
      </c>
      <c r="G93" t="s">
        <v>56</v>
      </c>
      <c r="H93">
        <v>9</v>
      </c>
      <c r="I93">
        <v>93312082</v>
      </c>
      <c r="J93">
        <v>0</v>
      </c>
      <c r="K93">
        <v>93312082</v>
      </c>
      <c r="L93" t="s">
        <v>69</v>
      </c>
      <c r="M93" t="s">
        <v>34</v>
      </c>
      <c r="N93" t="s">
        <v>265</v>
      </c>
      <c r="O93" t="s">
        <v>39</v>
      </c>
      <c r="P93">
        <v>6.9</v>
      </c>
      <c r="Q93">
        <v>3.3</v>
      </c>
    </row>
    <row r="94" spans="1:17" x14ac:dyDescent="0.25">
      <c r="A94" t="s">
        <v>110</v>
      </c>
      <c r="B94" s="1">
        <v>45283</v>
      </c>
      <c r="C94" t="s">
        <v>262</v>
      </c>
      <c r="D94">
        <v>2023</v>
      </c>
      <c r="E94" t="s">
        <v>61</v>
      </c>
      <c r="F94" t="s">
        <v>28</v>
      </c>
      <c r="G94" t="s">
        <v>42</v>
      </c>
      <c r="H94">
        <v>14</v>
      </c>
      <c r="I94">
        <v>28536684</v>
      </c>
      <c r="J94">
        <v>0</v>
      </c>
      <c r="K94">
        <v>28536684</v>
      </c>
      <c r="L94" t="s">
        <v>30</v>
      </c>
      <c r="M94" t="s">
        <v>31</v>
      </c>
      <c r="N94" t="s">
        <v>265</v>
      </c>
      <c r="O94" t="s">
        <v>19</v>
      </c>
      <c r="P94">
        <v>9.07</v>
      </c>
      <c r="Q94">
        <v>7.49</v>
      </c>
    </row>
    <row r="95" spans="1:17" x14ac:dyDescent="0.25">
      <c r="A95" t="s">
        <v>115</v>
      </c>
      <c r="B95" s="1">
        <v>45315</v>
      </c>
      <c r="C95" t="s">
        <v>253</v>
      </c>
      <c r="D95">
        <v>2024</v>
      </c>
      <c r="E95" t="s">
        <v>61</v>
      </c>
      <c r="F95" t="s">
        <v>28</v>
      </c>
      <c r="G95" t="s">
        <v>38</v>
      </c>
      <c r="H95">
        <v>16</v>
      </c>
      <c r="I95">
        <v>10211622</v>
      </c>
      <c r="J95">
        <v>0</v>
      </c>
      <c r="K95">
        <v>10211622</v>
      </c>
      <c r="L95" t="s">
        <v>69</v>
      </c>
      <c r="M95" t="s">
        <v>25</v>
      </c>
      <c r="N95" t="s">
        <v>265</v>
      </c>
      <c r="O95" t="s">
        <v>39</v>
      </c>
      <c r="P95">
        <v>9.07</v>
      </c>
      <c r="Q95">
        <v>7.49</v>
      </c>
    </row>
    <row r="96" spans="1:17" x14ac:dyDescent="0.25">
      <c r="A96" t="s">
        <v>117</v>
      </c>
      <c r="B96" s="1">
        <v>45059</v>
      </c>
      <c r="C96" t="s">
        <v>259</v>
      </c>
      <c r="D96">
        <v>2023</v>
      </c>
      <c r="E96" t="s">
        <v>49</v>
      </c>
      <c r="F96" t="s">
        <v>50</v>
      </c>
      <c r="G96" t="s">
        <v>56</v>
      </c>
      <c r="H96">
        <v>38</v>
      </c>
      <c r="I96">
        <v>60325495</v>
      </c>
      <c r="J96">
        <v>0</v>
      </c>
      <c r="K96">
        <v>60325495</v>
      </c>
      <c r="L96" t="s">
        <v>17</v>
      </c>
      <c r="M96" t="s">
        <v>31</v>
      </c>
      <c r="N96" t="s">
        <v>266</v>
      </c>
      <c r="O96" t="s">
        <v>39</v>
      </c>
      <c r="P96">
        <v>7.38</v>
      </c>
      <c r="Q96">
        <v>3.93</v>
      </c>
    </row>
    <row r="97" spans="1:17" x14ac:dyDescent="0.25">
      <c r="A97" t="s">
        <v>119</v>
      </c>
      <c r="B97" s="1">
        <v>45322</v>
      </c>
      <c r="C97" t="s">
        <v>253</v>
      </c>
      <c r="D97">
        <v>2024</v>
      </c>
      <c r="E97" t="s">
        <v>65</v>
      </c>
      <c r="F97" t="s">
        <v>37</v>
      </c>
      <c r="G97" t="s">
        <v>38</v>
      </c>
      <c r="H97">
        <v>3</v>
      </c>
      <c r="I97">
        <v>16813928</v>
      </c>
      <c r="J97">
        <v>0</v>
      </c>
      <c r="K97">
        <v>16813928</v>
      </c>
      <c r="L97" t="s">
        <v>30</v>
      </c>
      <c r="M97" t="s">
        <v>34</v>
      </c>
      <c r="N97" t="s">
        <v>265</v>
      </c>
      <c r="O97" t="s">
        <v>19</v>
      </c>
      <c r="P97">
        <v>12.17</v>
      </c>
      <c r="Q97">
        <v>6.66</v>
      </c>
    </row>
    <row r="98" spans="1:17" x14ac:dyDescent="0.25">
      <c r="A98" t="s">
        <v>120</v>
      </c>
      <c r="B98" s="1">
        <v>45043</v>
      </c>
      <c r="C98" t="s">
        <v>258</v>
      </c>
      <c r="D98">
        <v>2023</v>
      </c>
      <c r="E98" t="s">
        <v>67</v>
      </c>
      <c r="F98" t="s">
        <v>50</v>
      </c>
      <c r="G98" t="s">
        <v>23</v>
      </c>
      <c r="H98">
        <v>12</v>
      </c>
      <c r="I98">
        <v>40512888</v>
      </c>
      <c r="J98">
        <v>0</v>
      </c>
      <c r="K98">
        <v>40512888</v>
      </c>
      <c r="L98" t="s">
        <v>24</v>
      </c>
      <c r="M98" t="s">
        <v>25</v>
      </c>
      <c r="N98" t="s">
        <v>267</v>
      </c>
      <c r="O98" t="s">
        <v>39</v>
      </c>
      <c r="P98">
        <v>6.52</v>
      </c>
      <c r="Q98">
        <v>3.37</v>
      </c>
    </row>
    <row r="99" spans="1:17" x14ac:dyDescent="0.25">
      <c r="A99" t="s">
        <v>128</v>
      </c>
      <c r="B99" s="1">
        <v>45342</v>
      </c>
      <c r="C99" t="s">
        <v>255</v>
      </c>
      <c r="D99">
        <v>2024</v>
      </c>
      <c r="E99" t="s">
        <v>49</v>
      </c>
      <c r="F99" t="s">
        <v>50</v>
      </c>
      <c r="G99" t="s">
        <v>42</v>
      </c>
      <c r="H99">
        <v>15</v>
      </c>
      <c r="I99">
        <v>15299847</v>
      </c>
      <c r="J99">
        <v>0</v>
      </c>
      <c r="K99">
        <v>15299847</v>
      </c>
      <c r="L99" t="s">
        <v>30</v>
      </c>
      <c r="M99" t="s">
        <v>18</v>
      </c>
      <c r="N99" t="s">
        <v>265</v>
      </c>
      <c r="O99" t="s">
        <v>39</v>
      </c>
      <c r="P99">
        <v>7.38</v>
      </c>
      <c r="Q99">
        <v>3.93</v>
      </c>
    </row>
    <row r="100" spans="1:17" x14ac:dyDescent="0.25">
      <c r="A100" t="s">
        <v>129</v>
      </c>
      <c r="B100" s="1">
        <v>45221</v>
      </c>
      <c r="C100" t="s">
        <v>251</v>
      </c>
      <c r="D100">
        <v>2023</v>
      </c>
      <c r="E100" t="s">
        <v>49</v>
      </c>
      <c r="F100" t="s">
        <v>50</v>
      </c>
      <c r="G100" t="s">
        <v>16</v>
      </c>
      <c r="H100">
        <v>2</v>
      </c>
      <c r="I100">
        <v>25737036</v>
      </c>
      <c r="J100">
        <v>0</v>
      </c>
      <c r="K100">
        <v>25737036</v>
      </c>
      <c r="L100" t="s">
        <v>69</v>
      </c>
      <c r="M100" t="s">
        <v>34</v>
      </c>
      <c r="N100" t="s">
        <v>265</v>
      </c>
      <c r="O100" t="s">
        <v>39</v>
      </c>
      <c r="P100">
        <v>7.38</v>
      </c>
      <c r="Q100">
        <v>3.93</v>
      </c>
    </row>
    <row r="101" spans="1:17" x14ac:dyDescent="0.25">
      <c r="A101" t="s">
        <v>130</v>
      </c>
      <c r="B101" s="1">
        <v>45176</v>
      </c>
      <c r="C101" t="s">
        <v>257</v>
      </c>
      <c r="D101">
        <v>2023</v>
      </c>
      <c r="E101" t="s">
        <v>61</v>
      </c>
      <c r="F101" t="s">
        <v>28</v>
      </c>
      <c r="G101" t="s">
        <v>16</v>
      </c>
      <c r="H101">
        <v>21</v>
      </c>
      <c r="I101">
        <v>62106266</v>
      </c>
      <c r="J101">
        <v>0</v>
      </c>
      <c r="K101">
        <v>62106266</v>
      </c>
      <c r="L101" t="s">
        <v>69</v>
      </c>
      <c r="M101" t="s">
        <v>31</v>
      </c>
      <c r="N101" t="s">
        <v>265</v>
      </c>
      <c r="O101" t="s">
        <v>19</v>
      </c>
      <c r="P101">
        <v>9.07</v>
      </c>
      <c r="Q101">
        <v>7.49</v>
      </c>
    </row>
    <row r="102" spans="1:17" x14ac:dyDescent="0.25">
      <c r="A102" t="s">
        <v>131</v>
      </c>
      <c r="B102" s="1">
        <v>45296</v>
      </c>
      <c r="C102" t="s">
        <v>253</v>
      </c>
      <c r="D102">
        <v>2024</v>
      </c>
      <c r="E102" t="s">
        <v>54</v>
      </c>
      <c r="F102" t="s">
        <v>55</v>
      </c>
      <c r="G102" t="s">
        <v>16</v>
      </c>
      <c r="H102">
        <v>37</v>
      </c>
      <c r="I102">
        <v>139769413</v>
      </c>
      <c r="J102">
        <v>0</v>
      </c>
      <c r="K102">
        <v>139769413</v>
      </c>
      <c r="L102" t="s">
        <v>17</v>
      </c>
      <c r="M102" t="s">
        <v>25</v>
      </c>
      <c r="N102" t="s">
        <v>266</v>
      </c>
      <c r="O102" t="s">
        <v>39</v>
      </c>
      <c r="P102">
        <v>11.83</v>
      </c>
      <c r="Q102">
        <v>13.15</v>
      </c>
    </row>
    <row r="103" spans="1:17" x14ac:dyDescent="0.25">
      <c r="A103" t="s">
        <v>133</v>
      </c>
      <c r="B103" s="1">
        <v>45187</v>
      </c>
      <c r="C103" t="s">
        <v>257</v>
      </c>
      <c r="D103">
        <v>2023</v>
      </c>
      <c r="E103" t="s">
        <v>27</v>
      </c>
      <c r="F103" t="s">
        <v>28</v>
      </c>
      <c r="G103" t="s">
        <v>56</v>
      </c>
      <c r="H103">
        <v>10</v>
      </c>
      <c r="I103">
        <v>117913959</v>
      </c>
      <c r="J103">
        <v>0</v>
      </c>
      <c r="K103">
        <v>117913959</v>
      </c>
      <c r="L103" t="s">
        <v>30</v>
      </c>
      <c r="M103" t="s">
        <v>34</v>
      </c>
      <c r="N103" t="s">
        <v>265</v>
      </c>
      <c r="O103" t="s">
        <v>19</v>
      </c>
      <c r="P103">
        <v>7.73</v>
      </c>
      <c r="Q103">
        <v>8.5399999999999991</v>
      </c>
    </row>
    <row r="104" spans="1:17" x14ac:dyDescent="0.25">
      <c r="A104" t="s">
        <v>134</v>
      </c>
      <c r="B104" s="1">
        <v>45280</v>
      </c>
      <c r="C104" t="s">
        <v>262</v>
      </c>
      <c r="D104">
        <v>2023</v>
      </c>
      <c r="E104" t="s">
        <v>67</v>
      </c>
      <c r="F104" t="s">
        <v>50</v>
      </c>
      <c r="G104" t="s">
        <v>29</v>
      </c>
      <c r="H104">
        <v>5</v>
      </c>
      <c r="I104">
        <v>74367148</v>
      </c>
      <c r="J104">
        <v>0</v>
      </c>
      <c r="K104">
        <v>74367148</v>
      </c>
      <c r="L104" t="s">
        <v>69</v>
      </c>
      <c r="M104" t="s">
        <v>34</v>
      </c>
      <c r="N104" t="s">
        <v>265</v>
      </c>
      <c r="O104" t="s">
        <v>39</v>
      </c>
      <c r="P104">
        <v>6.52</v>
      </c>
      <c r="Q104">
        <v>3.37</v>
      </c>
    </row>
    <row r="105" spans="1:17" x14ac:dyDescent="0.25">
      <c r="A105" t="s">
        <v>136</v>
      </c>
      <c r="B105" s="1">
        <v>45334</v>
      </c>
      <c r="C105" t="s">
        <v>255</v>
      </c>
      <c r="D105">
        <v>2024</v>
      </c>
      <c r="E105" t="s">
        <v>36</v>
      </c>
      <c r="F105" t="s">
        <v>37</v>
      </c>
      <c r="G105" t="s">
        <v>23</v>
      </c>
      <c r="H105">
        <v>25</v>
      </c>
      <c r="I105">
        <v>67285582</v>
      </c>
      <c r="J105">
        <v>0</v>
      </c>
      <c r="K105">
        <v>67285582</v>
      </c>
      <c r="L105" t="s">
        <v>24</v>
      </c>
      <c r="M105" t="s">
        <v>18</v>
      </c>
      <c r="N105" t="s">
        <v>267</v>
      </c>
      <c r="O105" t="s">
        <v>39</v>
      </c>
      <c r="P105">
        <v>10.52</v>
      </c>
      <c r="Q105">
        <v>7.44</v>
      </c>
    </row>
    <row r="106" spans="1:17" x14ac:dyDescent="0.25">
      <c r="A106" t="s">
        <v>138</v>
      </c>
      <c r="B106" s="1">
        <v>45245</v>
      </c>
      <c r="C106" t="s">
        <v>260</v>
      </c>
      <c r="D106">
        <v>2023</v>
      </c>
      <c r="E106" t="s">
        <v>52</v>
      </c>
      <c r="F106" t="s">
        <v>37</v>
      </c>
      <c r="G106" t="s">
        <v>29</v>
      </c>
      <c r="H106">
        <v>29</v>
      </c>
      <c r="I106">
        <v>144267164</v>
      </c>
      <c r="J106">
        <v>0</v>
      </c>
      <c r="K106">
        <v>144267164</v>
      </c>
      <c r="L106" t="s">
        <v>30</v>
      </c>
      <c r="M106" t="s">
        <v>34</v>
      </c>
      <c r="N106" t="s">
        <v>265</v>
      </c>
      <c r="O106" t="s">
        <v>39</v>
      </c>
      <c r="P106">
        <v>12</v>
      </c>
      <c r="Q106">
        <v>8.52</v>
      </c>
    </row>
    <row r="107" spans="1:17" x14ac:dyDescent="0.25">
      <c r="A107" t="s">
        <v>141</v>
      </c>
      <c r="B107" s="1">
        <v>45345</v>
      </c>
      <c r="C107" t="s">
        <v>255</v>
      </c>
      <c r="D107">
        <v>2024</v>
      </c>
      <c r="E107" t="s">
        <v>33</v>
      </c>
      <c r="F107" t="s">
        <v>22</v>
      </c>
      <c r="G107" t="s">
        <v>23</v>
      </c>
      <c r="H107">
        <v>13</v>
      </c>
      <c r="I107">
        <v>58701544</v>
      </c>
      <c r="J107">
        <v>0</v>
      </c>
      <c r="K107">
        <v>58701544</v>
      </c>
      <c r="L107" t="s">
        <v>30</v>
      </c>
      <c r="M107" t="s">
        <v>31</v>
      </c>
      <c r="N107" t="s">
        <v>265</v>
      </c>
      <c r="O107" t="s">
        <v>39</v>
      </c>
      <c r="P107">
        <v>4.75</v>
      </c>
      <c r="Q107">
        <v>7.01</v>
      </c>
    </row>
    <row r="108" spans="1:17" x14ac:dyDescent="0.25">
      <c r="A108" t="s">
        <v>142</v>
      </c>
      <c r="B108" s="1">
        <v>45074</v>
      </c>
      <c r="C108" t="s">
        <v>259</v>
      </c>
      <c r="D108">
        <v>2023</v>
      </c>
      <c r="E108" t="s">
        <v>36</v>
      </c>
      <c r="F108" t="s">
        <v>37</v>
      </c>
      <c r="G108" t="s">
        <v>16</v>
      </c>
      <c r="H108">
        <v>8</v>
      </c>
      <c r="I108">
        <v>21908344</v>
      </c>
      <c r="J108">
        <v>0</v>
      </c>
      <c r="K108">
        <v>21908344</v>
      </c>
      <c r="L108" t="s">
        <v>24</v>
      </c>
      <c r="M108" t="s">
        <v>18</v>
      </c>
      <c r="N108" t="s">
        <v>267</v>
      </c>
      <c r="O108" t="s">
        <v>39</v>
      </c>
      <c r="P108">
        <v>10.52</v>
      </c>
      <c r="Q108">
        <v>7.44</v>
      </c>
    </row>
    <row r="109" spans="1:17" x14ac:dyDescent="0.25">
      <c r="A109" t="s">
        <v>144</v>
      </c>
      <c r="B109" s="1">
        <v>45052</v>
      </c>
      <c r="C109" t="s">
        <v>259</v>
      </c>
      <c r="D109">
        <v>2023</v>
      </c>
      <c r="E109" t="s">
        <v>52</v>
      </c>
      <c r="F109" t="s">
        <v>37</v>
      </c>
      <c r="G109" t="s">
        <v>23</v>
      </c>
      <c r="H109">
        <v>35</v>
      </c>
      <c r="I109">
        <v>48810656</v>
      </c>
      <c r="J109">
        <v>0</v>
      </c>
      <c r="K109">
        <v>48810656</v>
      </c>
      <c r="L109" t="s">
        <v>24</v>
      </c>
      <c r="M109" t="s">
        <v>25</v>
      </c>
      <c r="N109" t="s">
        <v>267</v>
      </c>
      <c r="O109" t="s">
        <v>19</v>
      </c>
      <c r="P109">
        <v>12</v>
      </c>
      <c r="Q109">
        <v>8.52</v>
      </c>
    </row>
    <row r="110" spans="1:17" x14ac:dyDescent="0.25">
      <c r="A110" t="s">
        <v>146</v>
      </c>
      <c r="B110" s="1">
        <v>45284</v>
      </c>
      <c r="C110" t="s">
        <v>262</v>
      </c>
      <c r="D110">
        <v>2023</v>
      </c>
      <c r="E110" t="s">
        <v>54</v>
      </c>
      <c r="F110" t="s">
        <v>55</v>
      </c>
      <c r="G110" t="s">
        <v>38</v>
      </c>
      <c r="H110">
        <v>20</v>
      </c>
      <c r="I110">
        <v>120865066</v>
      </c>
      <c r="J110">
        <v>0</v>
      </c>
      <c r="K110">
        <v>120865066</v>
      </c>
      <c r="L110" t="s">
        <v>17</v>
      </c>
      <c r="M110" t="s">
        <v>34</v>
      </c>
      <c r="N110" t="s">
        <v>266</v>
      </c>
      <c r="O110" t="s">
        <v>39</v>
      </c>
      <c r="P110">
        <v>11.83</v>
      </c>
      <c r="Q110">
        <v>13.15</v>
      </c>
    </row>
    <row r="111" spans="1:17" x14ac:dyDescent="0.25">
      <c r="A111" t="s">
        <v>148</v>
      </c>
      <c r="B111" s="1">
        <v>45107</v>
      </c>
      <c r="C111" t="s">
        <v>252</v>
      </c>
      <c r="D111">
        <v>2023</v>
      </c>
      <c r="E111" t="s">
        <v>36</v>
      </c>
      <c r="F111" t="s">
        <v>37</v>
      </c>
      <c r="G111" t="s">
        <v>23</v>
      </c>
      <c r="H111">
        <v>22</v>
      </c>
      <c r="I111">
        <v>62432721</v>
      </c>
      <c r="J111">
        <v>0</v>
      </c>
      <c r="K111">
        <v>62432721</v>
      </c>
      <c r="L111" t="s">
        <v>69</v>
      </c>
      <c r="M111" t="s">
        <v>34</v>
      </c>
      <c r="N111" t="s">
        <v>265</v>
      </c>
      <c r="O111" t="s">
        <v>39</v>
      </c>
      <c r="P111">
        <v>10.52</v>
      </c>
      <c r="Q111">
        <v>7.44</v>
      </c>
    </row>
    <row r="112" spans="1:17" x14ac:dyDescent="0.25">
      <c r="A112" t="s">
        <v>154</v>
      </c>
      <c r="B112" s="1">
        <v>45293</v>
      </c>
      <c r="C112" t="s">
        <v>253</v>
      </c>
      <c r="D112">
        <v>2024</v>
      </c>
      <c r="E112" t="s">
        <v>36</v>
      </c>
      <c r="F112" t="s">
        <v>37</v>
      </c>
      <c r="G112" t="s">
        <v>47</v>
      </c>
      <c r="H112">
        <v>17</v>
      </c>
      <c r="I112">
        <v>110020654</v>
      </c>
      <c r="J112">
        <v>0</v>
      </c>
      <c r="K112">
        <v>110020654</v>
      </c>
      <c r="L112" t="s">
        <v>17</v>
      </c>
      <c r="M112" t="s">
        <v>18</v>
      </c>
      <c r="N112" t="s">
        <v>266</v>
      </c>
      <c r="O112" t="s">
        <v>39</v>
      </c>
      <c r="P112">
        <v>10.52</v>
      </c>
      <c r="Q112">
        <v>7.44</v>
      </c>
    </row>
    <row r="113" spans="1:17" x14ac:dyDescent="0.25">
      <c r="A113" t="s">
        <v>156</v>
      </c>
      <c r="B113" s="1">
        <v>44975</v>
      </c>
      <c r="C113" t="s">
        <v>255</v>
      </c>
      <c r="D113">
        <v>2023</v>
      </c>
      <c r="E113" t="s">
        <v>49</v>
      </c>
      <c r="F113" t="s">
        <v>50</v>
      </c>
      <c r="G113" t="s">
        <v>47</v>
      </c>
      <c r="H113">
        <v>15</v>
      </c>
      <c r="I113">
        <v>8433053</v>
      </c>
      <c r="J113">
        <v>0</v>
      </c>
      <c r="K113">
        <v>8433053</v>
      </c>
      <c r="L113" t="s">
        <v>30</v>
      </c>
      <c r="M113" t="s">
        <v>18</v>
      </c>
      <c r="N113" t="s">
        <v>265</v>
      </c>
      <c r="O113" t="s">
        <v>39</v>
      </c>
      <c r="P113">
        <v>7.38</v>
      </c>
      <c r="Q113">
        <v>3.93</v>
      </c>
    </row>
    <row r="114" spans="1:17" x14ac:dyDescent="0.25">
      <c r="A114" t="s">
        <v>157</v>
      </c>
      <c r="B114" s="1">
        <v>45018</v>
      </c>
      <c r="C114" t="s">
        <v>258</v>
      </c>
      <c r="D114">
        <v>2023</v>
      </c>
      <c r="E114" t="s">
        <v>36</v>
      </c>
      <c r="F114" t="s">
        <v>37</v>
      </c>
      <c r="G114" t="s">
        <v>42</v>
      </c>
      <c r="H114">
        <v>28</v>
      </c>
      <c r="I114">
        <v>63792800</v>
      </c>
      <c r="J114">
        <v>0</v>
      </c>
      <c r="K114">
        <v>63792800</v>
      </c>
      <c r="L114" t="s">
        <v>69</v>
      </c>
      <c r="M114" t="s">
        <v>25</v>
      </c>
      <c r="N114" t="s">
        <v>265</v>
      </c>
      <c r="O114" t="s">
        <v>39</v>
      </c>
      <c r="P114">
        <v>10.52</v>
      </c>
      <c r="Q114">
        <v>7.44</v>
      </c>
    </row>
    <row r="115" spans="1:17" x14ac:dyDescent="0.25">
      <c r="A115" t="s">
        <v>166</v>
      </c>
      <c r="B115" s="1">
        <v>45131</v>
      </c>
      <c r="C115" t="s">
        <v>261</v>
      </c>
      <c r="D115">
        <v>2023</v>
      </c>
      <c r="E115" t="s">
        <v>36</v>
      </c>
      <c r="F115" t="s">
        <v>37</v>
      </c>
      <c r="G115" t="s">
        <v>16</v>
      </c>
      <c r="H115">
        <v>33</v>
      </c>
      <c r="I115">
        <v>20289536</v>
      </c>
      <c r="J115">
        <v>0</v>
      </c>
      <c r="K115">
        <v>20289536</v>
      </c>
      <c r="L115" t="s">
        <v>24</v>
      </c>
      <c r="M115" t="s">
        <v>25</v>
      </c>
      <c r="N115" t="s">
        <v>267</v>
      </c>
      <c r="O115" t="s">
        <v>19</v>
      </c>
      <c r="P115">
        <v>10.52</v>
      </c>
      <c r="Q115">
        <v>7.44</v>
      </c>
    </row>
    <row r="116" spans="1:17" x14ac:dyDescent="0.25">
      <c r="A116" t="s">
        <v>167</v>
      </c>
      <c r="B116" s="1">
        <v>45051</v>
      </c>
      <c r="C116" t="s">
        <v>259</v>
      </c>
      <c r="D116">
        <v>2023</v>
      </c>
      <c r="E116" t="s">
        <v>49</v>
      </c>
      <c r="F116" t="s">
        <v>50</v>
      </c>
      <c r="G116" t="s">
        <v>42</v>
      </c>
      <c r="H116">
        <v>9</v>
      </c>
      <c r="I116">
        <v>45989170</v>
      </c>
      <c r="J116">
        <v>0</v>
      </c>
      <c r="K116">
        <v>45989170</v>
      </c>
      <c r="L116" t="s">
        <v>17</v>
      </c>
      <c r="M116" t="s">
        <v>25</v>
      </c>
      <c r="N116" t="s">
        <v>266</v>
      </c>
      <c r="O116" t="s">
        <v>39</v>
      </c>
      <c r="P116">
        <v>7.38</v>
      </c>
      <c r="Q116">
        <v>3.93</v>
      </c>
    </row>
    <row r="117" spans="1:17" x14ac:dyDescent="0.25">
      <c r="A117" t="s">
        <v>169</v>
      </c>
      <c r="B117" s="1">
        <v>44944</v>
      </c>
      <c r="C117" t="s">
        <v>253</v>
      </c>
      <c r="D117">
        <v>2023</v>
      </c>
      <c r="E117" t="s">
        <v>36</v>
      </c>
      <c r="F117" t="s">
        <v>37</v>
      </c>
      <c r="G117" t="s">
        <v>23</v>
      </c>
      <c r="H117">
        <v>19</v>
      </c>
      <c r="I117">
        <v>32858196</v>
      </c>
      <c r="J117">
        <v>0</v>
      </c>
      <c r="K117">
        <v>32858196</v>
      </c>
      <c r="L117" t="s">
        <v>69</v>
      </c>
      <c r="M117" t="s">
        <v>31</v>
      </c>
      <c r="N117" t="s">
        <v>265</v>
      </c>
      <c r="O117" t="s">
        <v>19</v>
      </c>
      <c r="P117">
        <v>10.52</v>
      </c>
      <c r="Q117">
        <v>7.44</v>
      </c>
    </row>
    <row r="118" spans="1:17" x14ac:dyDescent="0.25">
      <c r="A118" t="s">
        <v>172</v>
      </c>
      <c r="B118" s="1">
        <v>45246</v>
      </c>
      <c r="C118" t="s">
        <v>260</v>
      </c>
      <c r="D118">
        <v>2023</v>
      </c>
      <c r="E118" t="s">
        <v>49</v>
      </c>
      <c r="F118" t="s">
        <v>50</v>
      </c>
      <c r="G118" t="s">
        <v>29</v>
      </c>
      <c r="H118">
        <v>4</v>
      </c>
      <c r="I118">
        <v>56211871</v>
      </c>
      <c r="J118">
        <v>0</v>
      </c>
      <c r="K118">
        <v>56211871</v>
      </c>
      <c r="L118" t="s">
        <v>24</v>
      </c>
      <c r="M118" t="s">
        <v>25</v>
      </c>
      <c r="N118" t="s">
        <v>267</v>
      </c>
      <c r="O118" t="s">
        <v>19</v>
      </c>
      <c r="P118">
        <v>7.38</v>
      </c>
      <c r="Q118">
        <v>3.93</v>
      </c>
    </row>
    <row r="119" spans="1:17" x14ac:dyDescent="0.25">
      <c r="A119" t="s">
        <v>175</v>
      </c>
      <c r="B119" s="1">
        <v>45049</v>
      </c>
      <c r="C119" t="s">
        <v>259</v>
      </c>
      <c r="D119">
        <v>2023</v>
      </c>
      <c r="E119" t="s">
        <v>36</v>
      </c>
      <c r="F119" t="s">
        <v>37</v>
      </c>
      <c r="G119" t="s">
        <v>23</v>
      </c>
      <c r="H119">
        <v>5</v>
      </c>
      <c r="I119">
        <v>110082112</v>
      </c>
      <c r="J119">
        <v>0</v>
      </c>
      <c r="K119">
        <v>110082112</v>
      </c>
      <c r="L119" t="s">
        <v>24</v>
      </c>
      <c r="M119" t="s">
        <v>31</v>
      </c>
      <c r="N119" t="s">
        <v>267</v>
      </c>
      <c r="O119" t="s">
        <v>19</v>
      </c>
      <c r="P119">
        <v>10.52</v>
      </c>
      <c r="Q119">
        <v>7.44</v>
      </c>
    </row>
    <row r="120" spans="1:17" x14ac:dyDescent="0.25">
      <c r="A120" t="s">
        <v>178</v>
      </c>
      <c r="B120" s="1">
        <v>45200</v>
      </c>
      <c r="C120" t="s">
        <v>251</v>
      </c>
      <c r="D120">
        <v>2023</v>
      </c>
      <c r="E120" t="s">
        <v>65</v>
      </c>
      <c r="F120" t="s">
        <v>37</v>
      </c>
      <c r="G120" t="s">
        <v>47</v>
      </c>
      <c r="H120">
        <v>8</v>
      </c>
      <c r="I120">
        <v>70516565</v>
      </c>
      <c r="J120">
        <v>0</v>
      </c>
      <c r="K120">
        <v>70516565</v>
      </c>
      <c r="L120" t="s">
        <v>30</v>
      </c>
      <c r="M120" t="s">
        <v>25</v>
      </c>
      <c r="N120" t="s">
        <v>265</v>
      </c>
      <c r="O120" t="s">
        <v>39</v>
      </c>
      <c r="P120">
        <v>12.17</v>
      </c>
      <c r="Q120">
        <v>6.66</v>
      </c>
    </row>
    <row r="121" spans="1:17" x14ac:dyDescent="0.25">
      <c r="A121" t="s">
        <v>181</v>
      </c>
      <c r="B121" s="1">
        <v>45270</v>
      </c>
      <c r="C121" t="s">
        <v>262</v>
      </c>
      <c r="D121">
        <v>2023</v>
      </c>
      <c r="E121" t="s">
        <v>21</v>
      </c>
      <c r="F121" t="s">
        <v>22</v>
      </c>
      <c r="G121" t="s">
        <v>56</v>
      </c>
      <c r="H121">
        <v>10</v>
      </c>
      <c r="I121">
        <v>97391317</v>
      </c>
      <c r="J121">
        <v>0</v>
      </c>
      <c r="K121">
        <v>97391317</v>
      </c>
      <c r="L121" t="s">
        <v>30</v>
      </c>
      <c r="M121" t="s">
        <v>31</v>
      </c>
      <c r="N121" t="s">
        <v>265</v>
      </c>
      <c r="O121" t="s">
        <v>39</v>
      </c>
      <c r="P121">
        <v>5.7</v>
      </c>
      <c r="Q121">
        <v>5.9</v>
      </c>
    </row>
    <row r="122" spans="1:17" x14ac:dyDescent="0.25">
      <c r="A122" t="s">
        <v>182</v>
      </c>
      <c r="B122" s="1">
        <v>45334</v>
      </c>
      <c r="C122" t="s">
        <v>255</v>
      </c>
      <c r="D122">
        <v>2024</v>
      </c>
      <c r="E122" t="s">
        <v>27</v>
      </c>
      <c r="F122" t="s">
        <v>28</v>
      </c>
      <c r="G122" t="s">
        <v>29</v>
      </c>
      <c r="H122">
        <v>27</v>
      </c>
      <c r="I122">
        <v>124113375</v>
      </c>
      <c r="J122">
        <v>0</v>
      </c>
      <c r="K122">
        <v>124113375</v>
      </c>
      <c r="L122" t="s">
        <v>24</v>
      </c>
      <c r="M122" t="s">
        <v>31</v>
      </c>
      <c r="N122" t="s">
        <v>267</v>
      </c>
      <c r="O122" t="s">
        <v>19</v>
      </c>
      <c r="P122">
        <v>7.73</v>
      </c>
      <c r="Q122">
        <v>8.5399999999999991</v>
      </c>
    </row>
    <row r="123" spans="1:17" x14ac:dyDescent="0.25">
      <c r="A123" t="s">
        <v>186</v>
      </c>
      <c r="B123" s="1">
        <v>45247</v>
      </c>
      <c r="C123" t="s">
        <v>260</v>
      </c>
      <c r="D123">
        <v>2023</v>
      </c>
      <c r="E123" t="s">
        <v>54</v>
      </c>
      <c r="F123" t="s">
        <v>55</v>
      </c>
      <c r="G123" t="s">
        <v>29</v>
      </c>
      <c r="H123">
        <v>15</v>
      </c>
      <c r="I123">
        <v>19511737</v>
      </c>
      <c r="J123">
        <v>0</v>
      </c>
      <c r="K123">
        <v>19511737</v>
      </c>
      <c r="L123" t="s">
        <v>69</v>
      </c>
      <c r="M123" t="s">
        <v>25</v>
      </c>
      <c r="N123" t="s">
        <v>265</v>
      </c>
      <c r="O123" t="s">
        <v>39</v>
      </c>
      <c r="P123">
        <v>11.83</v>
      </c>
      <c r="Q123">
        <v>13.15</v>
      </c>
    </row>
    <row r="124" spans="1:17" x14ac:dyDescent="0.25">
      <c r="A124" t="s">
        <v>191</v>
      </c>
      <c r="B124" s="1">
        <v>45262</v>
      </c>
      <c r="C124" t="s">
        <v>262</v>
      </c>
      <c r="D124">
        <v>2023</v>
      </c>
      <c r="E124" t="s">
        <v>54</v>
      </c>
      <c r="F124" t="s">
        <v>55</v>
      </c>
      <c r="G124" t="s">
        <v>38</v>
      </c>
      <c r="H124">
        <v>9</v>
      </c>
      <c r="I124">
        <v>29840029</v>
      </c>
      <c r="J124">
        <v>0</v>
      </c>
      <c r="K124">
        <v>29840029</v>
      </c>
      <c r="L124" t="s">
        <v>24</v>
      </c>
      <c r="M124" t="s">
        <v>18</v>
      </c>
      <c r="N124" t="s">
        <v>267</v>
      </c>
      <c r="O124" t="s">
        <v>39</v>
      </c>
      <c r="P124">
        <v>11.83</v>
      </c>
      <c r="Q124">
        <v>13.15</v>
      </c>
    </row>
    <row r="125" spans="1:17" x14ac:dyDescent="0.25">
      <c r="A125" t="s">
        <v>192</v>
      </c>
      <c r="B125" s="1">
        <v>45125</v>
      </c>
      <c r="C125" t="s">
        <v>261</v>
      </c>
      <c r="D125">
        <v>2023</v>
      </c>
      <c r="E125" t="s">
        <v>52</v>
      </c>
      <c r="F125" t="s">
        <v>37</v>
      </c>
      <c r="G125" t="s">
        <v>16</v>
      </c>
      <c r="H125">
        <v>4</v>
      </c>
      <c r="I125">
        <v>109926171</v>
      </c>
      <c r="J125">
        <v>0</v>
      </c>
      <c r="K125">
        <v>109926171</v>
      </c>
      <c r="L125" t="s">
        <v>30</v>
      </c>
      <c r="M125" t="s">
        <v>31</v>
      </c>
      <c r="N125" t="s">
        <v>265</v>
      </c>
      <c r="O125" t="s">
        <v>19</v>
      </c>
      <c r="P125">
        <v>12</v>
      </c>
      <c r="Q125">
        <v>8.52</v>
      </c>
    </row>
    <row r="126" spans="1:17" x14ac:dyDescent="0.25">
      <c r="A126" t="s">
        <v>198</v>
      </c>
      <c r="B126" s="1">
        <v>45115</v>
      </c>
      <c r="C126" t="s">
        <v>261</v>
      </c>
      <c r="D126">
        <v>2023</v>
      </c>
      <c r="E126" t="s">
        <v>14</v>
      </c>
      <c r="F126" t="s">
        <v>15</v>
      </c>
      <c r="G126" t="s">
        <v>16</v>
      </c>
      <c r="H126">
        <v>11</v>
      </c>
      <c r="I126">
        <v>127238751</v>
      </c>
      <c r="J126">
        <v>0</v>
      </c>
      <c r="K126">
        <v>127238751</v>
      </c>
      <c r="L126" t="s">
        <v>24</v>
      </c>
      <c r="M126" t="s">
        <v>34</v>
      </c>
      <c r="N126" t="s">
        <v>267</v>
      </c>
      <c r="O126" t="s">
        <v>39</v>
      </c>
      <c r="P126">
        <v>6.21</v>
      </c>
      <c r="Q126">
        <v>7.07</v>
      </c>
    </row>
    <row r="127" spans="1:17" x14ac:dyDescent="0.25">
      <c r="A127" t="s">
        <v>201</v>
      </c>
      <c r="B127" s="1">
        <v>45274</v>
      </c>
      <c r="C127" t="s">
        <v>262</v>
      </c>
      <c r="D127">
        <v>2023</v>
      </c>
      <c r="E127" t="s">
        <v>36</v>
      </c>
      <c r="F127" t="s">
        <v>37</v>
      </c>
      <c r="G127" t="s">
        <v>29</v>
      </c>
      <c r="H127">
        <v>23</v>
      </c>
      <c r="I127">
        <v>130909567</v>
      </c>
      <c r="J127">
        <v>0</v>
      </c>
      <c r="K127">
        <v>130909567</v>
      </c>
      <c r="L127" t="s">
        <v>69</v>
      </c>
      <c r="M127" t="s">
        <v>18</v>
      </c>
      <c r="N127" t="s">
        <v>265</v>
      </c>
      <c r="O127" t="s">
        <v>39</v>
      </c>
      <c r="P127">
        <v>10.52</v>
      </c>
      <c r="Q127">
        <v>7.44</v>
      </c>
    </row>
    <row r="128" spans="1:17" x14ac:dyDescent="0.25">
      <c r="A128" t="s">
        <v>202</v>
      </c>
      <c r="B128" s="1">
        <v>45113</v>
      </c>
      <c r="C128" t="s">
        <v>261</v>
      </c>
      <c r="D128">
        <v>2023</v>
      </c>
      <c r="E128" t="s">
        <v>33</v>
      </c>
      <c r="F128" t="s">
        <v>22</v>
      </c>
      <c r="G128" t="s">
        <v>42</v>
      </c>
      <c r="H128">
        <v>33</v>
      </c>
      <c r="I128">
        <v>44851880</v>
      </c>
      <c r="J128">
        <v>0</v>
      </c>
      <c r="K128">
        <v>44851880</v>
      </c>
      <c r="L128" t="s">
        <v>69</v>
      </c>
      <c r="M128" t="s">
        <v>34</v>
      </c>
      <c r="N128" t="s">
        <v>265</v>
      </c>
      <c r="O128" t="s">
        <v>19</v>
      </c>
      <c r="P128">
        <v>4.75</v>
      </c>
      <c r="Q128">
        <v>7.01</v>
      </c>
    </row>
    <row r="129" spans="1:17" x14ac:dyDescent="0.25">
      <c r="A129" t="s">
        <v>204</v>
      </c>
      <c r="B129" s="1">
        <v>45147</v>
      </c>
      <c r="C129" t="s">
        <v>254</v>
      </c>
      <c r="D129">
        <v>2023</v>
      </c>
      <c r="E129" t="s">
        <v>65</v>
      </c>
      <c r="F129" t="s">
        <v>37</v>
      </c>
      <c r="G129" t="s">
        <v>23</v>
      </c>
      <c r="H129">
        <v>31</v>
      </c>
      <c r="I129">
        <v>120324844</v>
      </c>
      <c r="J129">
        <v>0</v>
      </c>
      <c r="K129">
        <v>120324844</v>
      </c>
      <c r="L129" t="s">
        <v>24</v>
      </c>
      <c r="M129" t="s">
        <v>34</v>
      </c>
      <c r="N129" t="s">
        <v>267</v>
      </c>
      <c r="O129" t="s">
        <v>19</v>
      </c>
      <c r="P129">
        <v>12.17</v>
      </c>
      <c r="Q129">
        <v>6.66</v>
      </c>
    </row>
    <row r="130" spans="1:17" x14ac:dyDescent="0.25">
      <c r="A130" t="s">
        <v>205</v>
      </c>
      <c r="B130" s="1">
        <v>45329</v>
      </c>
      <c r="C130" t="s">
        <v>255</v>
      </c>
      <c r="D130">
        <v>2024</v>
      </c>
      <c r="E130" t="s">
        <v>49</v>
      </c>
      <c r="F130" t="s">
        <v>50</v>
      </c>
      <c r="G130" t="s">
        <v>47</v>
      </c>
      <c r="H130">
        <v>10</v>
      </c>
      <c r="I130">
        <v>76795835</v>
      </c>
      <c r="J130">
        <v>0</v>
      </c>
      <c r="K130">
        <v>76795835</v>
      </c>
      <c r="L130" t="s">
        <v>24</v>
      </c>
      <c r="M130" t="s">
        <v>25</v>
      </c>
      <c r="N130" t="s">
        <v>267</v>
      </c>
      <c r="O130" t="s">
        <v>19</v>
      </c>
      <c r="P130">
        <v>7.38</v>
      </c>
      <c r="Q130">
        <v>3.93</v>
      </c>
    </row>
    <row r="131" spans="1:17" x14ac:dyDescent="0.25">
      <c r="A131" t="s">
        <v>206</v>
      </c>
      <c r="B131" s="1">
        <v>45090</v>
      </c>
      <c r="C131" t="s">
        <v>252</v>
      </c>
      <c r="D131">
        <v>2023</v>
      </c>
      <c r="E131" t="s">
        <v>36</v>
      </c>
      <c r="F131" t="s">
        <v>37</v>
      </c>
      <c r="G131" t="s">
        <v>23</v>
      </c>
      <c r="H131">
        <v>24</v>
      </c>
      <c r="I131">
        <v>80203486</v>
      </c>
      <c r="J131">
        <v>0</v>
      </c>
      <c r="K131">
        <v>80203486</v>
      </c>
      <c r="L131" t="s">
        <v>17</v>
      </c>
      <c r="M131" t="s">
        <v>25</v>
      </c>
      <c r="N131" t="s">
        <v>266</v>
      </c>
      <c r="O131" t="s">
        <v>19</v>
      </c>
      <c r="P131">
        <v>10.52</v>
      </c>
      <c r="Q131">
        <v>7.44</v>
      </c>
    </row>
    <row r="132" spans="1:17" x14ac:dyDescent="0.25">
      <c r="A132" t="s">
        <v>207</v>
      </c>
      <c r="B132" s="1">
        <v>45406</v>
      </c>
      <c r="C132" t="s">
        <v>258</v>
      </c>
      <c r="D132">
        <v>2024</v>
      </c>
      <c r="E132" t="s">
        <v>58</v>
      </c>
      <c r="F132" t="s">
        <v>50</v>
      </c>
      <c r="G132" t="s">
        <v>16</v>
      </c>
      <c r="H132">
        <v>2</v>
      </c>
      <c r="I132">
        <v>65043174</v>
      </c>
      <c r="J132">
        <v>0</v>
      </c>
      <c r="K132">
        <v>65043174</v>
      </c>
      <c r="L132" t="s">
        <v>24</v>
      </c>
      <c r="M132" t="s">
        <v>18</v>
      </c>
      <c r="N132" t="s">
        <v>267</v>
      </c>
      <c r="O132" t="s">
        <v>39</v>
      </c>
      <c r="P132">
        <v>6.9</v>
      </c>
      <c r="Q132">
        <v>3.3</v>
      </c>
    </row>
    <row r="133" spans="1:17" x14ac:dyDescent="0.25">
      <c r="A133" t="s">
        <v>210</v>
      </c>
      <c r="B133" s="1">
        <v>44997</v>
      </c>
      <c r="C133" t="s">
        <v>256</v>
      </c>
      <c r="D133">
        <v>2023</v>
      </c>
      <c r="E133" t="s">
        <v>52</v>
      </c>
      <c r="F133" t="s">
        <v>37</v>
      </c>
      <c r="G133" t="s">
        <v>56</v>
      </c>
      <c r="H133">
        <v>1</v>
      </c>
      <c r="I133">
        <v>18781160</v>
      </c>
      <c r="J133">
        <v>0</v>
      </c>
      <c r="K133">
        <v>18781160</v>
      </c>
      <c r="L133" t="s">
        <v>30</v>
      </c>
      <c r="M133" t="s">
        <v>31</v>
      </c>
      <c r="N133" t="s">
        <v>265</v>
      </c>
      <c r="O133" t="s">
        <v>19</v>
      </c>
      <c r="P133">
        <v>12</v>
      </c>
      <c r="Q133">
        <v>8.52</v>
      </c>
    </row>
    <row r="134" spans="1:17" x14ac:dyDescent="0.25">
      <c r="A134" t="s">
        <v>211</v>
      </c>
      <c r="B134" s="1">
        <v>45242</v>
      </c>
      <c r="C134" t="s">
        <v>260</v>
      </c>
      <c r="D134">
        <v>2023</v>
      </c>
      <c r="E134" t="s">
        <v>44</v>
      </c>
      <c r="F134" t="s">
        <v>37</v>
      </c>
      <c r="G134" t="s">
        <v>42</v>
      </c>
      <c r="H134">
        <v>18</v>
      </c>
      <c r="I134">
        <v>82345183</v>
      </c>
      <c r="J134">
        <v>0</v>
      </c>
      <c r="K134">
        <v>82345183</v>
      </c>
      <c r="L134" t="s">
        <v>30</v>
      </c>
      <c r="M134" t="s">
        <v>31</v>
      </c>
      <c r="N134" t="s">
        <v>265</v>
      </c>
      <c r="O134" t="s">
        <v>19</v>
      </c>
      <c r="P134">
        <v>12.99</v>
      </c>
      <c r="Q134">
        <v>7.6</v>
      </c>
    </row>
    <row r="135" spans="1:17" x14ac:dyDescent="0.25">
      <c r="A135" t="s">
        <v>214</v>
      </c>
      <c r="B135" s="1">
        <v>45151</v>
      </c>
      <c r="C135" t="s">
        <v>254</v>
      </c>
      <c r="D135">
        <v>2023</v>
      </c>
      <c r="E135" t="s">
        <v>44</v>
      </c>
      <c r="F135" t="s">
        <v>37</v>
      </c>
      <c r="G135" t="s">
        <v>29</v>
      </c>
      <c r="H135">
        <v>20</v>
      </c>
      <c r="I135">
        <v>35249585</v>
      </c>
      <c r="J135">
        <v>0</v>
      </c>
      <c r="K135">
        <v>35249585</v>
      </c>
      <c r="L135" t="s">
        <v>24</v>
      </c>
      <c r="M135" t="s">
        <v>31</v>
      </c>
      <c r="N135" t="s">
        <v>267</v>
      </c>
      <c r="O135" t="s">
        <v>39</v>
      </c>
      <c r="P135">
        <v>12.99</v>
      </c>
      <c r="Q135">
        <v>7.6</v>
      </c>
    </row>
    <row r="136" spans="1:17" x14ac:dyDescent="0.25">
      <c r="A136" t="s">
        <v>220</v>
      </c>
      <c r="B136" s="1">
        <v>45143</v>
      </c>
      <c r="C136" t="s">
        <v>254</v>
      </c>
      <c r="D136">
        <v>2023</v>
      </c>
      <c r="E136" t="s">
        <v>21</v>
      </c>
      <c r="F136" t="s">
        <v>22</v>
      </c>
      <c r="G136" t="s">
        <v>16</v>
      </c>
      <c r="H136">
        <v>20</v>
      </c>
      <c r="I136">
        <v>70344331</v>
      </c>
      <c r="J136">
        <v>0</v>
      </c>
      <c r="K136">
        <v>70344331</v>
      </c>
      <c r="L136" t="s">
        <v>30</v>
      </c>
      <c r="M136" t="s">
        <v>25</v>
      </c>
      <c r="N136" t="s">
        <v>265</v>
      </c>
      <c r="O136" t="s">
        <v>39</v>
      </c>
      <c r="P136">
        <v>5.7</v>
      </c>
      <c r="Q136">
        <v>5.9</v>
      </c>
    </row>
    <row r="137" spans="1:17" x14ac:dyDescent="0.25">
      <c r="A137" t="s">
        <v>223</v>
      </c>
      <c r="B137" s="1">
        <v>44977</v>
      </c>
      <c r="C137" t="s">
        <v>255</v>
      </c>
      <c r="D137">
        <v>2023</v>
      </c>
      <c r="E137" t="s">
        <v>65</v>
      </c>
      <c r="F137" t="s">
        <v>37</v>
      </c>
      <c r="G137" t="s">
        <v>42</v>
      </c>
      <c r="H137">
        <v>29</v>
      </c>
      <c r="I137">
        <v>134627793</v>
      </c>
      <c r="J137">
        <v>0</v>
      </c>
      <c r="K137">
        <v>134627793</v>
      </c>
      <c r="L137" t="s">
        <v>30</v>
      </c>
      <c r="M137" t="s">
        <v>18</v>
      </c>
      <c r="N137" t="s">
        <v>265</v>
      </c>
      <c r="O137" t="s">
        <v>39</v>
      </c>
      <c r="P137">
        <v>12.17</v>
      </c>
      <c r="Q137">
        <v>6.66</v>
      </c>
    </row>
    <row r="138" spans="1:17" x14ac:dyDescent="0.25">
      <c r="A138" t="s">
        <v>224</v>
      </c>
      <c r="B138" s="1">
        <v>45173</v>
      </c>
      <c r="C138" t="s">
        <v>257</v>
      </c>
      <c r="D138">
        <v>2023</v>
      </c>
      <c r="E138" t="s">
        <v>65</v>
      </c>
      <c r="F138" t="s">
        <v>37</v>
      </c>
      <c r="G138" t="s">
        <v>47</v>
      </c>
      <c r="H138">
        <v>31</v>
      </c>
      <c r="I138">
        <v>73478224</v>
      </c>
      <c r="J138">
        <v>0</v>
      </c>
      <c r="K138">
        <v>73478224</v>
      </c>
      <c r="L138" t="s">
        <v>30</v>
      </c>
      <c r="M138" t="s">
        <v>31</v>
      </c>
      <c r="N138" t="s">
        <v>265</v>
      </c>
      <c r="O138" t="s">
        <v>19</v>
      </c>
      <c r="P138">
        <v>12.17</v>
      </c>
      <c r="Q138">
        <v>6.66</v>
      </c>
    </row>
    <row r="139" spans="1:17" x14ac:dyDescent="0.25">
      <c r="A139" t="s">
        <v>226</v>
      </c>
      <c r="B139" s="1">
        <v>45259</v>
      </c>
      <c r="C139" t="s">
        <v>260</v>
      </c>
      <c r="D139">
        <v>2023</v>
      </c>
      <c r="E139" t="s">
        <v>58</v>
      </c>
      <c r="F139" t="s">
        <v>50</v>
      </c>
      <c r="G139" t="s">
        <v>23</v>
      </c>
      <c r="H139">
        <v>12</v>
      </c>
      <c r="I139">
        <v>134503021</v>
      </c>
      <c r="J139">
        <v>0</v>
      </c>
      <c r="K139">
        <v>134503021</v>
      </c>
      <c r="L139" t="s">
        <v>69</v>
      </c>
      <c r="M139" t="s">
        <v>31</v>
      </c>
      <c r="N139" t="s">
        <v>265</v>
      </c>
      <c r="O139" t="s">
        <v>19</v>
      </c>
      <c r="P139">
        <v>6.9</v>
      </c>
      <c r="Q139">
        <v>3.3</v>
      </c>
    </row>
    <row r="140" spans="1:17" x14ac:dyDescent="0.25">
      <c r="A140" t="s">
        <v>229</v>
      </c>
      <c r="B140" s="1">
        <v>45201</v>
      </c>
      <c r="C140" t="s">
        <v>251</v>
      </c>
      <c r="D140">
        <v>2023</v>
      </c>
      <c r="E140" t="s">
        <v>14</v>
      </c>
      <c r="F140" t="s">
        <v>15</v>
      </c>
      <c r="G140" t="s">
        <v>16</v>
      </c>
      <c r="H140">
        <v>17</v>
      </c>
      <c r="I140">
        <v>116825347</v>
      </c>
      <c r="J140">
        <v>0</v>
      </c>
      <c r="K140">
        <v>116825347</v>
      </c>
      <c r="L140" t="s">
        <v>30</v>
      </c>
      <c r="M140" t="s">
        <v>25</v>
      </c>
      <c r="N140" t="s">
        <v>265</v>
      </c>
      <c r="O140" t="s">
        <v>39</v>
      </c>
      <c r="P140">
        <v>6.21</v>
      </c>
      <c r="Q140">
        <v>7.07</v>
      </c>
    </row>
    <row r="141" spans="1:17" x14ac:dyDescent="0.25">
      <c r="A141" t="s">
        <v>233</v>
      </c>
      <c r="B141" s="1">
        <v>45375</v>
      </c>
      <c r="C141" t="s">
        <v>256</v>
      </c>
      <c r="D141">
        <v>2024</v>
      </c>
      <c r="E141" t="s">
        <v>14</v>
      </c>
      <c r="F141" t="s">
        <v>15</v>
      </c>
      <c r="G141" t="s">
        <v>29</v>
      </c>
      <c r="H141">
        <v>9</v>
      </c>
      <c r="I141">
        <v>146174916</v>
      </c>
      <c r="J141">
        <v>0</v>
      </c>
      <c r="K141">
        <v>146174916</v>
      </c>
      <c r="L141" t="s">
        <v>69</v>
      </c>
      <c r="M141" t="s">
        <v>31</v>
      </c>
      <c r="N141" t="s">
        <v>265</v>
      </c>
      <c r="O141" t="s">
        <v>39</v>
      </c>
      <c r="P141">
        <v>6.21</v>
      </c>
      <c r="Q141">
        <v>7.07</v>
      </c>
    </row>
    <row r="142" spans="1:17" x14ac:dyDescent="0.25">
      <c r="A142" t="s">
        <v>234</v>
      </c>
      <c r="B142" s="1">
        <v>44976</v>
      </c>
      <c r="C142" t="s">
        <v>255</v>
      </c>
      <c r="D142">
        <v>2023</v>
      </c>
      <c r="E142" t="s">
        <v>54</v>
      </c>
      <c r="F142" t="s">
        <v>55</v>
      </c>
      <c r="G142" t="s">
        <v>16</v>
      </c>
      <c r="H142">
        <v>30</v>
      </c>
      <c r="I142">
        <v>116897162</v>
      </c>
      <c r="J142">
        <v>0</v>
      </c>
      <c r="K142">
        <v>116897162</v>
      </c>
      <c r="L142" t="s">
        <v>30</v>
      </c>
      <c r="M142" t="s">
        <v>18</v>
      </c>
      <c r="N142" t="s">
        <v>265</v>
      </c>
      <c r="O142" t="s">
        <v>39</v>
      </c>
      <c r="P142">
        <v>11.83</v>
      </c>
      <c r="Q142">
        <v>13.15</v>
      </c>
    </row>
    <row r="143" spans="1:17" x14ac:dyDescent="0.25">
      <c r="A143" t="s">
        <v>237</v>
      </c>
      <c r="B143" s="1">
        <v>44944</v>
      </c>
      <c r="C143" t="s">
        <v>253</v>
      </c>
      <c r="D143">
        <v>2023</v>
      </c>
      <c r="E143" t="s">
        <v>54</v>
      </c>
      <c r="F143" t="s">
        <v>55</v>
      </c>
      <c r="G143" t="s">
        <v>23</v>
      </c>
      <c r="H143">
        <v>35</v>
      </c>
      <c r="I143">
        <v>11743618</v>
      </c>
      <c r="J143">
        <v>0</v>
      </c>
      <c r="K143">
        <v>11743618</v>
      </c>
      <c r="L143" t="s">
        <v>24</v>
      </c>
      <c r="M143" t="s">
        <v>25</v>
      </c>
      <c r="N143" t="s">
        <v>267</v>
      </c>
      <c r="O143" t="s">
        <v>39</v>
      </c>
      <c r="P143">
        <v>11.83</v>
      </c>
      <c r="Q143">
        <v>13.15</v>
      </c>
    </row>
    <row r="144" spans="1:17" x14ac:dyDescent="0.25">
      <c r="A144" t="s">
        <v>238</v>
      </c>
      <c r="B144" s="1">
        <v>45349</v>
      </c>
      <c r="C144" t="s">
        <v>255</v>
      </c>
      <c r="D144">
        <v>2024</v>
      </c>
      <c r="E144" t="s">
        <v>65</v>
      </c>
      <c r="F144" t="s">
        <v>37</v>
      </c>
      <c r="G144" t="s">
        <v>23</v>
      </c>
      <c r="H144">
        <v>40</v>
      </c>
      <c r="I144">
        <v>20081604</v>
      </c>
      <c r="J144">
        <v>0</v>
      </c>
      <c r="K144">
        <v>20081604</v>
      </c>
      <c r="L144" t="s">
        <v>30</v>
      </c>
      <c r="M144" t="s">
        <v>34</v>
      </c>
      <c r="N144" t="s">
        <v>265</v>
      </c>
      <c r="O144" t="s">
        <v>39</v>
      </c>
      <c r="P144">
        <v>12.17</v>
      </c>
      <c r="Q144">
        <v>6.66</v>
      </c>
    </row>
    <row r="145" spans="1:17" x14ac:dyDescent="0.25">
      <c r="A145" t="s">
        <v>26</v>
      </c>
      <c r="B145" s="1">
        <v>45296</v>
      </c>
      <c r="C145" t="s">
        <v>253</v>
      </c>
      <c r="D145">
        <v>2024</v>
      </c>
      <c r="E145" t="s">
        <v>27</v>
      </c>
      <c r="F145" t="s">
        <v>28</v>
      </c>
      <c r="G145" t="s">
        <v>29</v>
      </c>
      <c r="H145">
        <v>27</v>
      </c>
      <c r="I145">
        <v>134801379</v>
      </c>
      <c r="J145">
        <v>79002054</v>
      </c>
      <c r="K145">
        <v>55799325</v>
      </c>
      <c r="L145" t="s">
        <v>30</v>
      </c>
      <c r="M145" t="s">
        <v>31</v>
      </c>
      <c r="N145" t="s">
        <v>265</v>
      </c>
      <c r="O145" t="s">
        <v>19</v>
      </c>
      <c r="P145">
        <v>7.73</v>
      </c>
      <c r="Q145">
        <v>8.5399999999999991</v>
      </c>
    </row>
    <row r="146" spans="1:17" x14ac:dyDescent="0.25">
      <c r="A146" t="s">
        <v>32</v>
      </c>
      <c r="B146" s="1">
        <v>45161</v>
      </c>
      <c r="C146" t="s">
        <v>254</v>
      </c>
      <c r="D146">
        <v>2023</v>
      </c>
      <c r="E146" t="s">
        <v>33</v>
      </c>
      <c r="F146" t="s">
        <v>22</v>
      </c>
      <c r="G146" t="s">
        <v>16</v>
      </c>
      <c r="H146">
        <v>2</v>
      </c>
      <c r="I146">
        <v>76320051</v>
      </c>
      <c r="J146">
        <v>24647031</v>
      </c>
      <c r="K146">
        <v>51673020</v>
      </c>
      <c r="L146" t="s">
        <v>17</v>
      </c>
      <c r="M146" t="s">
        <v>34</v>
      </c>
      <c r="N146" t="s">
        <v>266</v>
      </c>
      <c r="O146" t="s">
        <v>19</v>
      </c>
      <c r="P146">
        <v>4.75</v>
      </c>
      <c r="Q146">
        <v>7.01</v>
      </c>
    </row>
    <row r="147" spans="1:17" x14ac:dyDescent="0.25">
      <c r="A147" t="s">
        <v>35</v>
      </c>
      <c r="B147" s="1">
        <v>44972</v>
      </c>
      <c r="C147" t="s">
        <v>255</v>
      </c>
      <c r="D147">
        <v>2023</v>
      </c>
      <c r="E147" t="s">
        <v>36</v>
      </c>
      <c r="F147" t="s">
        <v>37</v>
      </c>
      <c r="G147" t="s">
        <v>38</v>
      </c>
      <c r="H147">
        <v>26</v>
      </c>
      <c r="I147">
        <v>0</v>
      </c>
      <c r="J147">
        <v>41156046</v>
      </c>
      <c r="K147">
        <v>-41156046</v>
      </c>
      <c r="L147" t="s">
        <v>17</v>
      </c>
      <c r="M147" t="s">
        <v>18</v>
      </c>
      <c r="N147" t="s">
        <v>266</v>
      </c>
      <c r="O147" t="s">
        <v>39</v>
      </c>
      <c r="P147">
        <v>10.52</v>
      </c>
      <c r="Q147">
        <v>7.44</v>
      </c>
    </row>
    <row r="148" spans="1:17" x14ac:dyDescent="0.25">
      <c r="A148" t="s">
        <v>41</v>
      </c>
      <c r="B148" s="1">
        <v>45189</v>
      </c>
      <c r="C148" t="s">
        <v>257</v>
      </c>
      <c r="D148">
        <v>2023</v>
      </c>
      <c r="E148" t="s">
        <v>14</v>
      </c>
      <c r="F148" t="s">
        <v>15</v>
      </c>
      <c r="G148" t="s">
        <v>42</v>
      </c>
      <c r="H148">
        <v>6</v>
      </c>
      <c r="I148">
        <v>55275076</v>
      </c>
      <c r="J148">
        <v>22699975</v>
      </c>
      <c r="K148">
        <v>32575101</v>
      </c>
      <c r="L148" t="s">
        <v>24</v>
      </c>
      <c r="M148" t="s">
        <v>25</v>
      </c>
      <c r="N148" t="s">
        <v>267</v>
      </c>
      <c r="O148" t="s">
        <v>19</v>
      </c>
      <c r="P148">
        <v>6.21</v>
      </c>
      <c r="Q148">
        <v>7.07</v>
      </c>
    </row>
    <row r="149" spans="1:17" x14ac:dyDescent="0.25">
      <c r="A149" t="s">
        <v>43</v>
      </c>
      <c r="B149" s="1">
        <v>44979</v>
      </c>
      <c r="C149" t="s">
        <v>255</v>
      </c>
      <c r="D149">
        <v>2023</v>
      </c>
      <c r="E149" t="s">
        <v>44</v>
      </c>
      <c r="F149" t="s">
        <v>37</v>
      </c>
      <c r="G149" t="s">
        <v>42</v>
      </c>
      <c r="H149">
        <v>7</v>
      </c>
      <c r="I149">
        <v>0</v>
      </c>
      <c r="J149">
        <v>50956733</v>
      </c>
      <c r="K149">
        <v>-50956733</v>
      </c>
      <c r="L149" t="s">
        <v>30</v>
      </c>
      <c r="M149" t="s">
        <v>31</v>
      </c>
      <c r="N149" t="s">
        <v>265</v>
      </c>
      <c r="O149" t="s">
        <v>39</v>
      </c>
      <c r="P149">
        <v>12.99</v>
      </c>
      <c r="Q149">
        <v>7.6</v>
      </c>
    </row>
    <row r="150" spans="1:17" x14ac:dyDescent="0.25">
      <c r="A150" t="s">
        <v>45</v>
      </c>
      <c r="B150" s="1">
        <v>45031</v>
      </c>
      <c r="C150" t="s">
        <v>258</v>
      </c>
      <c r="D150">
        <v>2023</v>
      </c>
      <c r="E150" t="s">
        <v>14</v>
      </c>
      <c r="F150" t="s">
        <v>15</v>
      </c>
      <c r="G150" t="s">
        <v>42</v>
      </c>
      <c r="H150">
        <v>26</v>
      </c>
      <c r="I150">
        <v>0</v>
      </c>
      <c r="J150">
        <v>88603491</v>
      </c>
      <c r="K150">
        <v>-88603491</v>
      </c>
      <c r="L150" t="s">
        <v>17</v>
      </c>
      <c r="M150" t="s">
        <v>18</v>
      </c>
      <c r="N150" t="s">
        <v>266</v>
      </c>
      <c r="O150" t="s">
        <v>19</v>
      </c>
      <c r="P150">
        <v>6.21</v>
      </c>
      <c r="Q150">
        <v>7.07</v>
      </c>
    </row>
    <row r="151" spans="1:17" x14ac:dyDescent="0.25">
      <c r="A151" t="s">
        <v>48</v>
      </c>
      <c r="B151" s="1">
        <v>45426</v>
      </c>
      <c r="C151" t="s">
        <v>259</v>
      </c>
      <c r="D151">
        <v>2024</v>
      </c>
      <c r="E151" t="s">
        <v>49</v>
      </c>
      <c r="F151" t="s">
        <v>50</v>
      </c>
      <c r="G151" t="s">
        <v>38</v>
      </c>
      <c r="H151">
        <v>2</v>
      </c>
      <c r="I151">
        <v>0</v>
      </c>
      <c r="J151">
        <v>58873884</v>
      </c>
      <c r="K151">
        <v>-58873884</v>
      </c>
      <c r="L151" t="s">
        <v>17</v>
      </c>
      <c r="M151" t="s">
        <v>31</v>
      </c>
      <c r="N151" t="s">
        <v>266</v>
      </c>
      <c r="O151" t="s">
        <v>39</v>
      </c>
      <c r="P151">
        <v>7.38</v>
      </c>
      <c r="Q151">
        <v>3.93</v>
      </c>
    </row>
    <row r="152" spans="1:17" x14ac:dyDescent="0.25">
      <c r="A152" t="s">
        <v>62</v>
      </c>
      <c r="B152" s="1">
        <v>45399</v>
      </c>
      <c r="C152" t="s">
        <v>258</v>
      </c>
      <c r="D152">
        <v>2024</v>
      </c>
      <c r="E152" t="s">
        <v>44</v>
      </c>
      <c r="F152" t="s">
        <v>37</v>
      </c>
      <c r="G152" t="s">
        <v>29</v>
      </c>
      <c r="H152">
        <v>6</v>
      </c>
      <c r="I152">
        <v>0</v>
      </c>
      <c r="J152">
        <v>91448340</v>
      </c>
      <c r="K152">
        <v>-91448340</v>
      </c>
      <c r="L152" t="s">
        <v>30</v>
      </c>
      <c r="M152" t="s">
        <v>18</v>
      </c>
      <c r="N152" t="s">
        <v>265</v>
      </c>
      <c r="O152" t="s">
        <v>39</v>
      </c>
      <c r="P152">
        <v>12.99</v>
      </c>
      <c r="Q152">
        <v>7.6</v>
      </c>
    </row>
    <row r="153" spans="1:17" x14ac:dyDescent="0.25">
      <c r="A153" t="s">
        <v>66</v>
      </c>
      <c r="B153" s="1">
        <v>45145</v>
      </c>
      <c r="C153" t="s">
        <v>254</v>
      </c>
      <c r="D153">
        <v>2023</v>
      </c>
      <c r="E153" t="s">
        <v>67</v>
      </c>
      <c r="F153" t="s">
        <v>50</v>
      </c>
      <c r="G153" t="s">
        <v>29</v>
      </c>
      <c r="H153">
        <v>18</v>
      </c>
      <c r="I153">
        <v>0</v>
      </c>
      <c r="J153">
        <v>8072532</v>
      </c>
      <c r="K153">
        <v>-8072532</v>
      </c>
      <c r="L153" t="s">
        <v>24</v>
      </c>
      <c r="M153" t="s">
        <v>31</v>
      </c>
      <c r="N153" t="s">
        <v>267</v>
      </c>
      <c r="O153" t="s">
        <v>39</v>
      </c>
      <c r="P153">
        <v>6.52</v>
      </c>
      <c r="Q153">
        <v>3.37</v>
      </c>
    </row>
    <row r="154" spans="1:17" x14ac:dyDescent="0.25">
      <c r="A154" t="s">
        <v>68</v>
      </c>
      <c r="B154" s="1">
        <v>44985</v>
      </c>
      <c r="C154" t="s">
        <v>255</v>
      </c>
      <c r="D154">
        <v>2023</v>
      </c>
      <c r="E154" t="s">
        <v>33</v>
      </c>
      <c r="F154" t="s">
        <v>22</v>
      </c>
      <c r="G154" t="s">
        <v>56</v>
      </c>
      <c r="H154">
        <v>5</v>
      </c>
      <c r="I154">
        <v>0</v>
      </c>
      <c r="J154">
        <v>71976301</v>
      </c>
      <c r="K154">
        <v>-71976301</v>
      </c>
      <c r="L154" t="s">
        <v>69</v>
      </c>
      <c r="M154" t="s">
        <v>31</v>
      </c>
      <c r="N154" t="s">
        <v>265</v>
      </c>
      <c r="O154" t="s">
        <v>19</v>
      </c>
      <c r="P154">
        <v>4.75</v>
      </c>
      <c r="Q154">
        <v>7.01</v>
      </c>
    </row>
    <row r="155" spans="1:17" x14ac:dyDescent="0.25">
      <c r="A155" t="s">
        <v>72</v>
      </c>
      <c r="B155" s="1">
        <v>45422</v>
      </c>
      <c r="C155" t="s">
        <v>259</v>
      </c>
      <c r="D155">
        <v>2024</v>
      </c>
      <c r="E155" t="s">
        <v>61</v>
      </c>
      <c r="F155" t="s">
        <v>28</v>
      </c>
      <c r="G155" t="s">
        <v>23</v>
      </c>
      <c r="H155">
        <v>35</v>
      </c>
      <c r="I155">
        <v>38104390</v>
      </c>
      <c r="J155">
        <v>35241691</v>
      </c>
      <c r="K155">
        <v>2862699</v>
      </c>
      <c r="L155" t="s">
        <v>30</v>
      </c>
      <c r="M155" t="s">
        <v>31</v>
      </c>
      <c r="N155" t="s">
        <v>265</v>
      </c>
      <c r="O155" t="s">
        <v>39</v>
      </c>
      <c r="P155">
        <v>9.07</v>
      </c>
      <c r="Q155">
        <v>7.49</v>
      </c>
    </row>
    <row r="156" spans="1:17" x14ac:dyDescent="0.25">
      <c r="A156" t="s">
        <v>73</v>
      </c>
      <c r="B156" s="1">
        <v>45286</v>
      </c>
      <c r="C156" t="s">
        <v>262</v>
      </c>
      <c r="D156">
        <v>2023</v>
      </c>
      <c r="E156" t="s">
        <v>61</v>
      </c>
      <c r="F156" t="s">
        <v>28</v>
      </c>
      <c r="G156" t="s">
        <v>38</v>
      </c>
      <c r="H156">
        <v>5</v>
      </c>
      <c r="I156">
        <v>0</v>
      </c>
      <c r="J156">
        <v>84955125</v>
      </c>
      <c r="K156">
        <v>-84955125</v>
      </c>
      <c r="L156" t="s">
        <v>24</v>
      </c>
      <c r="M156" t="s">
        <v>34</v>
      </c>
      <c r="N156" t="s">
        <v>267</v>
      </c>
      <c r="O156" t="s">
        <v>39</v>
      </c>
      <c r="P156">
        <v>9.07</v>
      </c>
      <c r="Q156">
        <v>7.49</v>
      </c>
    </row>
    <row r="157" spans="1:17" x14ac:dyDescent="0.25">
      <c r="A157" t="s">
        <v>75</v>
      </c>
      <c r="B157" s="1">
        <v>45308</v>
      </c>
      <c r="C157" t="s">
        <v>253</v>
      </c>
      <c r="D157">
        <v>2024</v>
      </c>
      <c r="E157" t="s">
        <v>67</v>
      </c>
      <c r="F157" t="s">
        <v>50</v>
      </c>
      <c r="G157" t="s">
        <v>47</v>
      </c>
      <c r="H157">
        <v>1</v>
      </c>
      <c r="I157">
        <v>0</v>
      </c>
      <c r="J157">
        <v>30646944</v>
      </c>
      <c r="K157">
        <v>-30646944</v>
      </c>
      <c r="L157" t="s">
        <v>30</v>
      </c>
      <c r="M157" t="s">
        <v>31</v>
      </c>
      <c r="N157" t="s">
        <v>265</v>
      </c>
      <c r="O157" t="s">
        <v>19</v>
      </c>
      <c r="P157">
        <v>6.52</v>
      </c>
      <c r="Q157">
        <v>3.37</v>
      </c>
    </row>
    <row r="158" spans="1:17" x14ac:dyDescent="0.25">
      <c r="A158" t="s">
        <v>77</v>
      </c>
      <c r="B158" s="1">
        <v>45207</v>
      </c>
      <c r="C158" t="s">
        <v>251</v>
      </c>
      <c r="D158">
        <v>2023</v>
      </c>
      <c r="E158" t="s">
        <v>27</v>
      </c>
      <c r="F158" t="s">
        <v>28</v>
      </c>
      <c r="G158" t="s">
        <v>38</v>
      </c>
      <c r="H158">
        <v>8</v>
      </c>
      <c r="I158">
        <v>52950578</v>
      </c>
      <c r="J158">
        <v>61257860</v>
      </c>
      <c r="K158">
        <v>-8307282</v>
      </c>
      <c r="L158" t="s">
        <v>30</v>
      </c>
      <c r="M158" t="s">
        <v>31</v>
      </c>
      <c r="N158" t="s">
        <v>265</v>
      </c>
      <c r="O158" t="s">
        <v>39</v>
      </c>
      <c r="P158">
        <v>7.73</v>
      </c>
      <c r="Q158">
        <v>8.5399999999999991</v>
      </c>
    </row>
    <row r="159" spans="1:17" x14ac:dyDescent="0.25">
      <c r="A159" t="s">
        <v>83</v>
      </c>
      <c r="B159" s="1">
        <v>45014</v>
      </c>
      <c r="C159" t="s">
        <v>256</v>
      </c>
      <c r="D159">
        <v>2023</v>
      </c>
      <c r="E159" t="s">
        <v>52</v>
      </c>
      <c r="F159" t="s">
        <v>37</v>
      </c>
      <c r="G159" t="s">
        <v>42</v>
      </c>
      <c r="H159">
        <v>17</v>
      </c>
      <c r="I159">
        <v>0</v>
      </c>
      <c r="J159">
        <v>74380311</v>
      </c>
      <c r="K159">
        <v>-74380311</v>
      </c>
      <c r="L159" t="s">
        <v>30</v>
      </c>
      <c r="M159" t="s">
        <v>34</v>
      </c>
      <c r="N159" t="s">
        <v>265</v>
      </c>
      <c r="O159" t="s">
        <v>39</v>
      </c>
      <c r="P159">
        <v>12</v>
      </c>
      <c r="Q159">
        <v>8.52</v>
      </c>
    </row>
    <row r="160" spans="1:17" x14ac:dyDescent="0.25">
      <c r="A160" t="s">
        <v>85</v>
      </c>
      <c r="B160" s="1">
        <v>45167</v>
      </c>
      <c r="C160" t="s">
        <v>254</v>
      </c>
      <c r="D160">
        <v>2023</v>
      </c>
      <c r="E160" t="s">
        <v>61</v>
      </c>
      <c r="F160" t="s">
        <v>28</v>
      </c>
      <c r="G160" t="s">
        <v>56</v>
      </c>
      <c r="H160">
        <v>8</v>
      </c>
      <c r="I160">
        <v>0</v>
      </c>
      <c r="J160">
        <v>52917439</v>
      </c>
      <c r="K160">
        <v>-52917439</v>
      </c>
      <c r="L160" t="s">
        <v>69</v>
      </c>
      <c r="M160" t="s">
        <v>34</v>
      </c>
      <c r="N160" t="s">
        <v>265</v>
      </c>
      <c r="O160" t="s">
        <v>39</v>
      </c>
      <c r="P160">
        <v>9.07</v>
      </c>
      <c r="Q160">
        <v>7.49</v>
      </c>
    </row>
    <row r="161" spans="1:17" x14ac:dyDescent="0.25">
      <c r="A161" t="s">
        <v>86</v>
      </c>
      <c r="B161" s="1">
        <v>45110</v>
      </c>
      <c r="C161" t="s">
        <v>261</v>
      </c>
      <c r="D161">
        <v>2023</v>
      </c>
      <c r="E161" t="s">
        <v>44</v>
      </c>
      <c r="F161" t="s">
        <v>37</v>
      </c>
      <c r="G161" t="s">
        <v>42</v>
      </c>
      <c r="H161">
        <v>22</v>
      </c>
      <c r="I161">
        <v>7100511</v>
      </c>
      <c r="J161">
        <v>37925306</v>
      </c>
      <c r="K161">
        <v>-30824795</v>
      </c>
      <c r="L161" t="s">
        <v>24</v>
      </c>
      <c r="M161" t="s">
        <v>31</v>
      </c>
      <c r="N161" t="s">
        <v>267</v>
      </c>
      <c r="O161" t="s">
        <v>19</v>
      </c>
      <c r="P161">
        <v>12.99</v>
      </c>
      <c r="Q161">
        <v>7.6</v>
      </c>
    </row>
    <row r="162" spans="1:17" x14ac:dyDescent="0.25">
      <c r="A162" t="s">
        <v>87</v>
      </c>
      <c r="B162" s="1">
        <v>45298</v>
      </c>
      <c r="C162" t="s">
        <v>253</v>
      </c>
      <c r="D162">
        <v>2024</v>
      </c>
      <c r="E162" t="s">
        <v>54</v>
      </c>
      <c r="F162" t="s">
        <v>55</v>
      </c>
      <c r="G162" t="s">
        <v>47</v>
      </c>
      <c r="H162">
        <v>10</v>
      </c>
      <c r="I162">
        <v>0</v>
      </c>
      <c r="J162">
        <v>26936358</v>
      </c>
      <c r="K162">
        <v>-26936358</v>
      </c>
      <c r="L162" t="s">
        <v>69</v>
      </c>
      <c r="M162" t="s">
        <v>25</v>
      </c>
      <c r="N162" t="s">
        <v>265</v>
      </c>
      <c r="O162" t="s">
        <v>39</v>
      </c>
      <c r="P162">
        <v>11.83</v>
      </c>
      <c r="Q162">
        <v>13.15</v>
      </c>
    </row>
    <row r="163" spans="1:17" x14ac:dyDescent="0.25">
      <c r="A163" t="s">
        <v>92</v>
      </c>
      <c r="B163" s="1">
        <v>45290</v>
      </c>
      <c r="C163" t="s">
        <v>262</v>
      </c>
      <c r="D163">
        <v>2023</v>
      </c>
      <c r="E163" t="s">
        <v>33</v>
      </c>
      <c r="F163" t="s">
        <v>22</v>
      </c>
      <c r="G163" t="s">
        <v>38</v>
      </c>
      <c r="H163">
        <v>39</v>
      </c>
      <c r="I163">
        <v>88459239</v>
      </c>
      <c r="J163">
        <v>80862913</v>
      </c>
      <c r="K163">
        <v>7596326</v>
      </c>
      <c r="L163" t="s">
        <v>17</v>
      </c>
      <c r="M163" t="s">
        <v>25</v>
      </c>
      <c r="N163" t="s">
        <v>266</v>
      </c>
      <c r="O163" t="s">
        <v>39</v>
      </c>
      <c r="P163">
        <v>4.75</v>
      </c>
      <c r="Q163">
        <v>7.01</v>
      </c>
    </row>
    <row r="164" spans="1:17" x14ac:dyDescent="0.25">
      <c r="A164" t="s">
        <v>94</v>
      </c>
      <c r="B164" s="1">
        <v>45315</v>
      </c>
      <c r="C164" t="s">
        <v>253</v>
      </c>
      <c r="D164">
        <v>2024</v>
      </c>
      <c r="E164" t="s">
        <v>58</v>
      </c>
      <c r="F164" t="s">
        <v>50</v>
      </c>
      <c r="G164" t="s">
        <v>16</v>
      </c>
      <c r="H164">
        <v>21</v>
      </c>
      <c r="I164">
        <v>0</v>
      </c>
      <c r="J164">
        <v>33212155</v>
      </c>
      <c r="K164">
        <v>-33212155</v>
      </c>
      <c r="L164" t="s">
        <v>17</v>
      </c>
      <c r="M164" t="s">
        <v>18</v>
      </c>
      <c r="N164" t="s">
        <v>266</v>
      </c>
      <c r="O164" t="s">
        <v>19</v>
      </c>
      <c r="P164">
        <v>6.9</v>
      </c>
      <c r="Q164">
        <v>3.3</v>
      </c>
    </row>
    <row r="165" spans="1:17" x14ac:dyDescent="0.25">
      <c r="A165" t="s">
        <v>95</v>
      </c>
      <c r="B165" s="1">
        <v>45295</v>
      </c>
      <c r="C165" t="s">
        <v>253</v>
      </c>
      <c r="D165">
        <v>2024</v>
      </c>
      <c r="E165" t="s">
        <v>58</v>
      </c>
      <c r="F165" t="s">
        <v>50</v>
      </c>
      <c r="G165" t="s">
        <v>56</v>
      </c>
      <c r="H165">
        <v>36</v>
      </c>
      <c r="I165">
        <v>126554589</v>
      </c>
      <c r="J165">
        <v>79599340</v>
      </c>
      <c r="K165">
        <v>46955249</v>
      </c>
      <c r="L165" t="s">
        <v>24</v>
      </c>
      <c r="M165" t="s">
        <v>34</v>
      </c>
      <c r="N165" t="s">
        <v>267</v>
      </c>
      <c r="O165" t="s">
        <v>19</v>
      </c>
      <c r="P165">
        <v>6.9</v>
      </c>
      <c r="Q165">
        <v>3.3</v>
      </c>
    </row>
    <row r="166" spans="1:17" x14ac:dyDescent="0.25">
      <c r="A166" t="s">
        <v>99</v>
      </c>
      <c r="B166" s="1">
        <v>45142</v>
      </c>
      <c r="C166" t="s">
        <v>254</v>
      </c>
      <c r="D166">
        <v>2023</v>
      </c>
      <c r="E166" t="s">
        <v>61</v>
      </c>
      <c r="F166" t="s">
        <v>28</v>
      </c>
      <c r="G166" t="s">
        <v>47</v>
      </c>
      <c r="H166">
        <v>17</v>
      </c>
      <c r="I166">
        <v>39753311</v>
      </c>
      <c r="J166">
        <v>19811174</v>
      </c>
      <c r="K166">
        <v>19942137</v>
      </c>
      <c r="L166" t="s">
        <v>69</v>
      </c>
      <c r="M166" t="s">
        <v>18</v>
      </c>
      <c r="N166" t="s">
        <v>265</v>
      </c>
      <c r="O166" t="s">
        <v>39</v>
      </c>
      <c r="P166">
        <v>9.07</v>
      </c>
      <c r="Q166">
        <v>7.49</v>
      </c>
    </row>
    <row r="167" spans="1:17" x14ac:dyDescent="0.25">
      <c r="A167" t="s">
        <v>104</v>
      </c>
      <c r="B167" s="1">
        <v>45025</v>
      </c>
      <c r="C167" t="s">
        <v>258</v>
      </c>
      <c r="D167">
        <v>2023</v>
      </c>
      <c r="E167" t="s">
        <v>65</v>
      </c>
      <c r="F167" t="s">
        <v>37</v>
      </c>
      <c r="G167" t="s">
        <v>23</v>
      </c>
      <c r="H167">
        <v>35</v>
      </c>
      <c r="I167">
        <v>0</v>
      </c>
      <c r="J167">
        <v>80424974</v>
      </c>
      <c r="K167">
        <v>-80424974</v>
      </c>
      <c r="L167" t="s">
        <v>69</v>
      </c>
      <c r="M167" t="s">
        <v>31</v>
      </c>
      <c r="N167" t="s">
        <v>265</v>
      </c>
      <c r="O167" t="s">
        <v>19</v>
      </c>
      <c r="P167">
        <v>12.17</v>
      </c>
      <c r="Q167">
        <v>6.66</v>
      </c>
    </row>
    <row r="168" spans="1:17" x14ac:dyDescent="0.25">
      <c r="A168" t="s">
        <v>108</v>
      </c>
      <c r="B168" s="1">
        <v>45285</v>
      </c>
      <c r="C168" t="s">
        <v>262</v>
      </c>
      <c r="D168">
        <v>2023</v>
      </c>
      <c r="E168" t="s">
        <v>65</v>
      </c>
      <c r="F168" t="s">
        <v>37</v>
      </c>
      <c r="G168" t="s">
        <v>38</v>
      </c>
      <c r="H168">
        <v>5</v>
      </c>
      <c r="I168">
        <v>0</v>
      </c>
      <c r="J168">
        <v>45646850</v>
      </c>
      <c r="K168">
        <v>-45646850</v>
      </c>
      <c r="L168" t="s">
        <v>24</v>
      </c>
      <c r="M168" t="s">
        <v>31</v>
      </c>
      <c r="N168" t="s">
        <v>267</v>
      </c>
      <c r="O168" t="s">
        <v>39</v>
      </c>
      <c r="P168">
        <v>12.17</v>
      </c>
      <c r="Q168">
        <v>6.66</v>
      </c>
    </row>
    <row r="169" spans="1:17" x14ac:dyDescent="0.25">
      <c r="A169" t="s">
        <v>109</v>
      </c>
      <c r="B169" s="1">
        <v>45190</v>
      </c>
      <c r="C169" t="s">
        <v>257</v>
      </c>
      <c r="D169">
        <v>2023</v>
      </c>
      <c r="E169" t="s">
        <v>27</v>
      </c>
      <c r="F169" t="s">
        <v>28</v>
      </c>
      <c r="G169" t="s">
        <v>38</v>
      </c>
      <c r="H169">
        <v>4</v>
      </c>
      <c r="I169">
        <v>63731531</v>
      </c>
      <c r="J169">
        <v>83260677</v>
      </c>
      <c r="K169">
        <v>-19529146</v>
      </c>
      <c r="L169" t="s">
        <v>24</v>
      </c>
      <c r="M169" t="s">
        <v>18</v>
      </c>
      <c r="N169" t="s">
        <v>267</v>
      </c>
      <c r="O169" t="s">
        <v>19</v>
      </c>
      <c r="P169">
        <v>7.73</v>
      </c>
      <c r="Q169">
        <v>8.5399999999999991</v>
      </c>
    </row>
    <row r="170" spans="1:17" x14ac:dyDescent="0.25">
      <c r="A170" t="s">
        <v>121</v>
      </c>
      <c r="B170" s="1">
        <v>45241</v>
      </c>
      <c r="C170" t="s">
        <v>260</v>
      </c>
      <c r="D170">
        <v>2023</v>
      </c>
      <c r="E170" t="s">
        <v>61</v>
      </c>
      <c r="F170" t="s">
        <v>28</v>
      </c>
      <c r="G170" t="s">
        <v>47</v>
      </c>
      <c r="H170">
        <v>15</v>
      </c>
      <c r="I170">
        <v>0</v>
      </c>
      <c r="J170">
        <v>48232000</v>
      </c>
      <c r="K170">
        <v>-48232000</v>
      </c>
      <c r="L170" t="s">
        <v>17</v>
      </c>
      <c r="M170" t="s">
        <v>31</v>
      </c>
      <c r="N170" t="s">
        <v>266</v>
      </c>
      <c r="O170" t="s">
        <v>39</v>
      </c>
      <c r="P170">
        <v>9.07</v>
      </c>
      <c r="Q170">
        <v>7.49</v>
      </c>
    </row>
    <row r="171" spans="1:17" x14ac:dyDescent="0.25">
      <c r="A171" t="s">
        <v>122</v>
      </c>
      <c r="B171" s="1">
        <v>45417</v>
      </c>
      <c r="C171" t="s">
        <v>259</v>
      </c>
      <c r="D171">
        <v>2024</v>
      </c>
      <c r="E171" t="s">
        <v>54</v>
      </c>
      <c r="F171" t="s">
        <v>55</v>
      </c>
      <c r="G171" t="s">
        <v>38</v>
      </c>
      <c r="H171">
        <v>30</v>
      </c>
      <c r="I171">
        <v>0</v>
      </c>
      <c r="J171">
        <v>63541531</v>
      </c>
      <c r="K171">
        <v>-63541531</v>
      </c>
      <c r="L171" t="s">
        <v>24</v>
      </c>
      <c r="M171" t="s">
        <v>25</v>
      </c>
      <c r="N171" t="s">
        <v>267</v>
      </c>
      <c r="O171" t="s">
        <v>19</v>
      </c>
      <c r="P171">
        <v>11.83</v>
      </c>
      <c r="Q171">
        <v>13.15</v>
      </c>
    </row>
    <row r="172" spans="1:17" x14ac:dyDescent="0.25">
      <c r="A172" t="s">
        <v>123</v>
      </c>
      <c r="B172" s="1">
        <v>45341</v>
      </c>
      <c r="C172" t="s">
        <v>255</v>
      </c>
      <c r="D172">
        <v>2024</v>
      </c>
      <c r="E172" t="s">
        <v>21</v>
      </c>
      <c r="F172" t="s">
        <v>22</v>
      </c>
      <c r="G172" t="s">
        <v>56</v>
      </c>
      <c r="H172">
        <v>21</v>
      </c>
      <c r="I172">
        <v>131784158</v>
      </c>
      <c r="J172">
        <v>42881158</v>
      </c>
      <c r="K172">
        <v>88903000</v>
      </c>
      <c r="L172" t="s">
        <v>17</v>
      </c>
      <c r="M172" t="s">
        <v>18</v>
      </c>
      <c r="N172" t="s">
        <v>266</v>
      </c>
      <c r="O172" t="s">
        <v>39</v>
      </c>
      <c r="P172">
        <v>5.7</v>
      </c>
      <c r="Q172">
        <v>5.9</v>
      </c>
    </row>
    <row r="173" spans="1:17" x14ac:dyDescent="0.25">
      <c r="A173" t="s">
        <v>125</v>
      </c>
      <c r="B173" s="1">
        <v>45308</v>
      </c>
      <c r="C173" t="s">
        <v>253</v>
      </c>
      <c r="D173">
        <v>2024</v>
      </c>
      <c r="E173" t="s">
        <v>65</v>
      </c>
      <c r="F173" t="s">
        <v>37</v>
      </c>
      <c r="G173" t="s">
        <v>42</v>
      </c>
      <c r="H173">
        <v>28</v>
      </c>
      <c r="I173">
        <v>0</v>
      </c>
      <c r="J173">
        <v>80341878</v>
      </c>
      <c r="K173">
        <v>-80341878</v>
      </c>
      <c r="L173" t="s">
        <v>17</v>
      </c>
      <c r="M173" t="s">
        <v>25</v>
      </c>
      <c r="N173" t="s">
        <v>266</v>
      </c>
      <c r="O173" t="s">
        <v>39</v>
      </c>
      <c r="P173">
        <v>12.17</v>
      </c>
      <c r="Q173">
        <v>6.66</v>
      </c>
    </row>
    <row r="174" spans="1:17" x14ac:dyDescent="0.25">
      <c r="A174" t="s">
        <v>126</v>
      </c>
      <c r="B174" s="1">
        <v>45232</v>
      </c>
      <c r="C174" t="s">
        <v>260</v>
      </c>
      <c r="D174">
        <v>2023</v>
      </c>
      <c r="E174" t="s">
        <v>67</v>
      </c>
      <c r="F174" t="s">
        <v>50</v>
      </c>
      <c r="G174" t="s">
        <v>56</v>
      </c>
      <c r="H174">
        <v>3</v>
      </c>
      <c r="I174">
        <v>28781178</v>
      </c>
      <c r="J174">
        <v>61437044</v>
      </c>
      <c r="K174">
        <v>-32655866</v>
      </c>
      <c r="L174" t="s">
        <v>30</v>
      </c>
      <c r="M174" t="s">
        <v>34</v>
      </c>
      <c r="N174" t="s">
        <v>265</v>
      </c>
      <c r="O174" t="s">
        <v>39</v>
      </c>
      <c r="P174">
        <v>6.52</v>
      </c>
      <c r="Q174">
        <v>3.37</v>
      </c>
    </row>
    <row r="175" spans="1:17" x14ac:dyDescent="0.25">
      <c r="A175" t="s">
        <v>127</v>
      </c>
      <c r="B175" s="1">
        <v>45177</v>
      </c>
      <c r="C175" t="s">
        <v>257</v>
      </c>
      <c r="D175">
        <v>2023</v>
      </c>
      <c r="E175" t="s">
        <v>65</v>
      </c>
      <c r="F175" t="s">
        <v>37</v>
      </c>
      <c r="G175" t="s">
        <v>16</v>
      </c>
      <c r="H175">
        <v>14</v>
      </c>
      <c r="I175">
        <v>126735328</v>
      </c>
      <c r="J175">
        <v>54755163</v>
      </c>
      <c r="K175">
        <v>71980165</v>
      </c>
      <c r="L175" t="s">
        <v>24</v>
      </c>
      <c r="M175" t="s">
        <v>34</v>
      </c>
      <c r="N175" t="s">
        <v>267</v>
      </c>
      <c r="O175" t="s">
        <v>39</v>
      </c>
      <c r="P175">
        <v>12.17</v>
      </c>
      <c r="Q175">
        <v>6.66</v>
      </c>
    </row>
    <row r="176" spans="1:17" x14ac:dyDescent="0.25">
      <c r="A176" t="s">
        <v>137</v>
      </c>
      <c r="B176" s="1">
        <v>44944</v>
      </c>
      <c r="C176" t="s">
        <v>253</v>
      </c>
      <c r="D176">
        <v>2023</v>
      </c>
      <c r="E176" t="s">
        <v>49</v>
      </c>
      <c r="F176" t="s">
        <v>50</v>
      </c>
      <c r="G176" t="s">
        <v>42</v>
      </c>
      <c r="H176">
        <v>34</v>
      </c>
      <c r="I176">
        <v>23596044</v>
      </c>
      <c r="J176">
        <v>35603639</v>
      </c>
      <c r="K176">
        <v>-12007595</v>
      </c>
      <c r="L176" t="s">
        <v>69</v>
      </c>
      <c r="M176" t="s">
        <v>34</v>
      </c>
      <c r="N176" t="s">
        <v>265</v>
      </c>
      <c r="O176" t="s">
        <v>39</v>
      </c>
      <c r="P176">
        <v>7.38</v>
      </c>
      <c r="Q176">
        <v>3.93</v>
      </c>
    </row>
    <row r="177" spans="1:17" x14ac:dyDescent="0.25">
      <c r="A177" t="s">
        <v>145</v>
      </c>
      <c r="B177" s="1">
        <v>45418</v>
      </c>
      <c r="C177" t="s">
        <v>259</v>
      </c>
      <c r="D177">
        <v>2024</v>
      </c>
      <c r="E177" t="s">
        <v>44</v>
      </c>
      <c r="F177" t="s">
        <v>37</v>
      </c>
      <c r="G177" t="s">
        <v>23</v>
      </c>
      <c r="H177">
        <v>25</v>
      </c>
      <c r="I177">
        <v>0</v>
      </c>
      <c r="J177">
        <v>63345210</v>
      </c>
      <c r="K177">
        <v>-63345210</v>
      </c>
      <c r="L177" t="s">
        <v>30</v>
      </c>
      <c r="M177" t="s">
        <v>31</v>
      </c>
      <c r="N177" t="s">
        <v>265</v>
      </c>
      <c r="O177" t="s">
        <v>19</v>
      </c>
      <c r="P177">
        <v>12.99</v>
      </c>
      <c r="Q177">
        <v>7.6</v>
      </c>
    </row>
    <row r="178" spans="1:17" x14ac:dyDescent="0.25">
      <c r="A178" t="s">
        <v>151</v>
      </c>
      <c r="B178" s="1">
        <v>45153</v>
      </c>
      <c r="C178" t="s">
        <v>254</v>
      </c>
      <c r="D178">
        <v>2023</v>
      </c>
      <c r="E178" t="s">
        <v>61</v>
      </c>
      <c r="F178" t="s">
        <v>28</v>
      </c>
      <c r="G178" t="s">
        <v>47</v>
      </c>
      <c r="H178">
        <v>6</v>
      </c>
      <c r="I178">
        <v>134018162</v>
      </c>
      <c r="J178">
        <v>26197061</v>
      </c>
      <c r="K178">
        <v>107821101</v>
      </c>
      <c r="L178" t="s">
        <v>30</v>
      </c>
      <c r="M178" t="s">
        <v>31</v>
      </c>
      <c r="N178" t="s">
        <v>265</v>
      </c>
      <c r="O178" t="s">
        <v>39</v>
      </c>
      <c r="P178">
        <v>9.07</v>
      </c>
      <c r="Q178">
        <v>7.49</v>
      </c>
    </row>
    <row r="179" spans="1:17" x14ac:dyDescent="0.25">
      <c r="A179" t="s">
        <v>152</v>
      </c>
      <c r="B179" s="1">
        <v>45337</v>
      </c>
      <c r="C179" t="s">
        <v>255</v>
      </c>
      <c r="D179">
        <v>2024</v>
      </c>
      <c r="E179" t="s">
        <v>27</v>
      </c>
      <c r="F179" t="s">
        <v>28</v>
      </c>
      <c r="G179" t="s">
        <v>23</v>
      </c>
      <c r="H179">
        <v>18</v>
      </c>
      <c r="I179">
        <v>0</v>
      </c>
      <c r="J179">
        <v>23103392</v>
      </c>
      <c r="K179">
        <v>-23103392</v>
      </c>
      <c r="L179" t="s">
        <v>17</v>
      </c>
      <c r="M179" t="s">
        <v>31</v>
      </c>
      <c r="N179" t="s">
        <v>266</v>
      </c>
      <c r="O179" t="s">
        <v>19</v>
      </c>
      <c r="P179">
        <v>7.73</v>
      </c>
      <c r="Q179">
        <v>8.5399999999999991</v>
      </c>
    </row>
    <row r="180" spans="1:17" x14ac:dyDescent="0.25">
      <c r="A180" t="s">
        <v>153</v>
      </c>
      <c r="B180" s="1">
        <v>44971</v>
      </c>
      <c r="C180" t="s">
        <v>255</v>
      </c>
      <c r="D180">
        <v>2023</v>
      </c>
      <c r="E180" t="s">
        <v>14</v>
      </c>
      <c r="F180" t="s">
        <v>15</v>
      </c>
      <c r="G180" t="s">
        <v>23</v>
      </c>
      <c r="H180">
        <v>29</v>
      </c>
      <c r="I180">
        <v>0</v>
      </c>
      <c r="J180">
        <v>11634434</v>
      </c>
      <c r="K180">
        <v>-11634434</v>
      </c>
      <c r="L180" t="s">
        <v>24</v>
      </c>
      <c r="M180" t="s">
        <v>31</v>
      </c>
      <c r="N180" t="s">
        <v>267</v>
      </c>
      <c r="O180" t="s">
        <v>39</v>
      </c>
      <c r="P180">
        <v>6.21</v>
      </c>
      <c r="Q180">
        <v>7.07</v>
      </c>
    </row>
    <row r="181" spans="1:17" x14ac:dyDescent="0.25">
      <c r="A181" t="s">
        <v>155</v>
      </c>
      <c r="B181" s="1">
        <v>44975</v>
      </c>
      <c r="C181" t="s">
        <v>255</v>
      </c>
      <c r="D181">
        <v>2023</v>
      </c>
      <c r="E181" t="s">
        <v>44</v>
      </c>
      <c r="F181" t="s">
        <v>37</v>
      </c>
      <c r="G181" t="s">
        <v>16</v>
      </c>
      <c r="H181">
        <v>1</v>
      </c>
      <c r="I181">
        <v>145428854</v>
      </c>
      <c r="J181">
        <v>77032177</v>
      </c>
      <c r="K181">
        <v>68396677</v>
      </c>
      <c r="L181" t="s">
        <v>30</v>
      </c>
      <c r="M181" t="s">
        <v>31</v>
      </c>
      <c r="N181" t="s">
        <v>265</v>
      </c>
      <c r="O181" t="s">
        <v>39</v>
      </c>
      <c r="P181">
        <v>12.99</v>
      </c>
      <c r="Q181">
        <v>7.6</v>
      </c>
    </row>
    <row r="182" spans="1:17" x14ac:dyDescent="0.25">
      <c r="A182" t="s">
        <v>160</v>
      </c>
      <c r="B182" s="1">
        <v>45015</v>
      </c>
      <c r="C182" t="s">
        <v>256</v>
      </c>
      <c r="D182">
        <v>2023</v>
      </c>
      <c r="E182" t="s">
        <v>27</v>
      </c>
      <c r="F182" t="s">
        <v>28</v>
      </c>
      <c r="G182" t="s">
        <v>29</v>
      </c>
      <c r="H182">
        <v>39</v>
      </c>
      <c r="I182">
        <v>0</v>
      </c>
      <c r="J182">
        <v>43570500</v>
      </c>
      <c r="K182">
        <v>-43570500</v>
      </c>
      <c r="L182" t="s">
        <v>17</v>
      </c>
      <c r="M182" t="s">
        <v>31</v>
      </c>
      <c r="N182" t="s">
        <v>266</v>
      </c>
      <c r="O182" t="s">
        <v>39</v>
      </c>
      <c r="P182">
        <v>7.73</v>
      </c>
      <c r="Q182">
        <v>8.5399999999999991</v>
      </c>
    </row>
    <row r="183" spans="1:17" x14ac:dyDescent="0.25">
      <c r="A183" t="s">
        <v>161</v>
      </c>
      <c r="B183" s="1">
        <v>45261</v>
      </c>
      <c r="C183" t="s">
        <v>262</v>
      </c>
      <c r="D183">
        <v>2023</v>
      </c>
      <c r="E183" t="s">
        <v>61</v>
      </c>
      <c r="F183" t="s">
        <v>28</v>
      </c>
      <c r="G183" t="s">
        <v>16</v>
      </c>
      <c r="H183">
        <v>10</v>
      </c>
      <c r="I183">
        <v>73972960</v>
      </c>
      <c r="J183">
        <v>98681187</v>
      </c>
      <c r="K183">
        <v>-24708227</v>
      </c>
      <c r="L183" t="s">
        <v>17</v>
      </c>
      <c r="M183" t="s">
        <v>25</v>
      </c>
      <c r="N183" t="s">
        <v>266</v>
      </c>
      <c r="O183" t="s">
        <v>39</v>
      </c>
      <c r="P183">
        <v>9.07</v>
      </c>
      <c r="Q183">
        <v>7.49</v>
      </c>
    </row>
    <row r="184" spans="1:17" x14ac:dyDescent="0.25">
      <c r="A184" t="s">
        <v>170</v>
      </c>
      <c r="B184" s="1">
        <v>45189</v>
      </c>
      <c r="C184" t="s">
        <v>257</v>
      </c>
      <c r="D184">
        <v>2023</v>
      </c>
      <c r="E184" t="s">
        <v>27</v>
      </c>
      <c r="F184" t="s">
        <v>28</v>
      </c>
      <c r="G184" t="s">
        <v>29</v>
      </c>
      <c r="H184">
        <v>35</v>
      </c>
      <c r="I184">
        <v>100723312</v>
      </c>
      <c r="J184">
        <v>24145666</v>
      </c>
      <c r="K184">
        <v>76577646</v>
      </c>
      <c r="L184" t="s">
        <v>30</v>
      </c>
      <c r="M184" t="s">
        <v>18</v>
      </c>
      <c r="N184" t="s">
        <v>265</v>
      </c>
      <c r="O184" t="s">
        <v>39</v>
      </c>
      <c r="P184">
        <v>7.73</v>
      </c>
      <c r="Q184">
        <v>8.5399999999999991</v>
      </c>
    </row>
    <row r="185" spans="1:17" x14ac:dyDescent="0.25">
      <c r="A185" t="s">
        <v>173</v>
      </c>
      <c r="B185" s="1">
        <v>45367</v>
      </c>
      <c r="C185" t="s">
        <v>256</v>
      </c>
      <c r="D185">
        <v>2024</v>
      </c>
      <c r="E185" t="s">
        <v>61</v>
      </c>
      <c r="F185" t="s">
        <v>28</v>
      </c>
      <c r="G185" t="s">
        <v>56</v>
      </c>
      <c r="H185">
        <v>27</v>
      </c>
      <c r="I185">
        <v>128201908</v>
      </c>
      <c r="J185">
        <v>48849357</v>
      </c>
      <c r="K185">
        <v>79352551</v>
      </c>
      <c r="L185" t="s">
        <v>69</v>
      </c>
      <c r="M185" t="s">
        <v>18</v>
      </c>
      <c r="N185" t="s">
        <v>265</v>
      </c>
      <c r="O185" t="s">
        <v>39</v>
      </c>
      <c r="P185">
        <v>9.07</v>
      </c>
      <c r="Q185">
        <v>7.49</v>
      </c>
    </row>
    <row r="186" spans="1:17" x14ac:dyDescent="0.25">
      <c r="A186" t="s">
        <v>179</v>
      </c>
      <c r="B186" s="1">
        <v>45151</v>
      </c>
      <c r="C186" t="s">
        <v>254</v>
      </c>
      <c r="D186">
        <v>2023</v>
      </c>
      <c r="E186" t="s">
        <v>65</v>
      </c>
      <c r="F186" t="s">
        <v>37</v>
      </c>
      <c r="G186" t="s">
        <v>23</v>
      </c>
      <c r="H186">
        <v>7</v>
      </c>
      <c r="I186">
        <v>148818146</v>
      </c>
      <c r="J186">
        <v>44775288</v>
      </c>
      <c r="K186">
        <v>104042858</v>
      </c>
      <c r="L186" t="s">
        <v>30</v>
      </c>
      <c r="M186" t="s">
        <v>25</v>
      </c>
      <c r="N186" t="s">
        <v>265</v>
      </c>
      <c r="O186" t="s">
        <v>39</v>
      </c>
      <c r="P186">
        <v>12.17</v>
      </c>
      <c r="Q186">
        <v>6.66</v>
      </c>
    </row>
    <row r="187" spans="1:17" x14ac:dyDescent="0.25">
      <c r="A187" t="s">
        <v>184</v>
      </c>
      <c r="B187" s="1">
        <v>45359</v>
      </c>
      <c r="C187" t="s">
        <v>256</v>
      </c>
      <c r="D187">
        <v>2024</v>
      </c>
      <c r="E187" t="s">
        <v>49</v>
      </c>
      <c r="F187" t="s">
        <v>50</v>
      </c>
      <c r="G187" t="s">
        <v>29</v>
      </c>
      <c r="H187">
        <v>34</v>
      </c>
      <c r="I187">
        <v>0</v>
      </c>
      <c r="J187">
        <v>74295517</v>
      </c>
      <c r="K187">
        <v>-74295517</v>
      </c>
      <c r="L187" t="s">
        <v>69</v>
      </c>
      <c r="M187" t="s">
        <v>25</v>
      </c>
      <c r="N187" t="s">
        <v>265</v>
      </c>
      <c r="O187" t="s">
        <v>19</v>
      </c>
      <c r="P187">
        <v>7.38</v>
      </c>
      <c r="Q187">
        <v>3.93</v>
      </c>
    </row>
    <row r="188" spans="1:17" x14ac:dyDescent="0.25">
      <c r="A188" t="s">
        <v>185</v>
      </c>
      <c r="B188" s="1">
        <v>45382</v>
      </c>
      <c r="C188" t="s">
        <v>256</v>
      </c>
      <c r="D188">
        <v>2024</v>
      </c>
      <c r="E188" t="s">
        <v>67</v>
      </c>
      <c r="F188" t="s">
        <v>50</v>
      </c>
      <c r="G188" t="s">
        <v>29</v>
      </c>
      <c r="H188">
        <v>25</v>
      </c>
      <c r="I188">
        <v>11180373</v>
      </c>
      <c r="J188">
        <v>73348632</v>
      </c>
      <c r="K188">
        <v>-62168259</v>
      </c>
      <c r="L188" t="s">
        <v>69</v>
      </c>
      <c r="M188" t="s">
        <v>34</v>
      </c>
      <c r="N188" t="s">
        <v>265</v>
      </c>
      <c r="O188" t="s">
        <v>39</v>
      </c>
      <c r="P188">
        <v>6.52</v>
      </c>
      <c r="Q188">
        <v>3.37</v>
      </c>
    </row>
    <row r="189" spans="1:17" x14ac:dyDescent="0.25">
      <c r="A189" t="s">
        <v>200</v>
      </c>
      <c r="B189" s="1">
        <v>45156</v>
      </c>
      <c r="C189" t="s">
        <v>254</v>
      </c>
      <c r="D189">
        <v>2023</v>
      </c>
      <c r="E189" t="s">
        <v>65</v>
      </c>
      <c r="F189" t="s">
        <v>37</v>
      </c>
      <c r="G189" t="s">
        <v>29</v>
      </c>
      <c r="H189">
        <v>14</v>
      </c>
      <c r="I189">
        <v>0</v>
      </c>
      <c r="J189">
        <v>30285729</v>
      </c>
      <c r="K189">
        <v>-30285729</v>
      </c>
      <c r="L189" t="s">
        <v>69</v>
      </c>
      <c r="M189" t="s">
        <v>25</v>
      </c>
      <c r="N189" t="s">
        <v>265</v>
      </c>
      <c r="O189" t="s">
        <v>19</v>
      </c>
      <c r="P189">
        <v>12.17</v>
      </c>
      <c r="Q189">
        <v>6.66</v>
      </c>
    </row>
    <row r="190" spans="1:17" x14ac:dyDescent="0.25">
      <c r="A190" t="s">
        <v>209</v>
      </c>
      <c r="B190" s="1">
        <v>44934</v>
      </c>
      <c r="C190" t="s">
        <v>253</v>
      </c>
      <c r="D190">
        <v>2023</v>
      </c>
      <c r="E190" t="s">
        <v>21</v>
      </c>
      <c r="F190" t="s">
        <v>22</v>
      </c>
      <c r="G190" t="s">
        <v>16</v>
      </c>
      <c r="H190">
        <v>29</v>
      </c>
      <c r="I190">
        <v>0</v>
      </c>
      <c r="J190">
        <v>49108899</v>
      </c>
      <c r="K190">
        <v>-49108899</v>
      </c>
      <c r="L190" t="s">
        <v>17</v>
      </c>
      <c r="M190" t="s">
        <v>31</v>
      </c>
      <c r="N190" t="s">
        <v>266</v>
      </c>
      <c r="O190" t="s">
        <v>39</v>
      </c>
      <c r="P190">
        <v>5.7</v>
      </c>
      <c r="Q190">
        <v>5.9</v>
      </c>
    </row>
    <row r="191" spans="1:17" x14ac:dyDescent="0.25">
      <c r="A191" t="s">
        <v>212</v>
      </c>
      <c r="B191" s="1">
        <v>45296</v>
      </c>
      <c r="C191" t="s">
        <v>253</v>
      </c>
      <c r="D191">
        <v>2024</v>
      </c>
      <c r="E191" t="s">
        <v>33</v>
      </c>
      <c r="F191" t="s">
        <v>22</v>
      </c>
      <c r="G191" t="s">
        <v>42</v>
      </c>
      <c r="H191">
        <v>23</v>
      </c>
      <c r="I191">
        <v>0</v>
      </c>
      <c r="J191">
        <v>77323347</v>
      </c>
      <c r="K191">
        <v>-77323347</v>
      </c>
      <c r="L191" t="s">
        <v>17</v>
      </c>
      <c r="M191" t="s">
        <v>31</v>
      </c>
      <c r="N191" t="s">
        <v>266</v>
      </c>
      <c r="O191" t="s">
        <v>19</v>
      </c>
      <c r="P191">
        <v>4.75</v>
      </c>
      <c r="Q191">
        <v>7.01</v>
      </c>
    </row>
    <row r="192" spans="1:17" x14ac:dyDescent="0.25">
      <c r="A192" t="s">
        <v>213</v>
      </c>
      <c r="B192" s="1">
        <v>45052</v>
      </c>
      <c r="C192" t="s">
        <v>259</v>
      </c>
      <c r="D192">
        <v>2023</v>
      </c>
      <c r="E192" t="s">
        <v>27</v>
      </c>
      <c r="F192" t="s">
        <v>28</v>
      </c>
      <c r="G192" t="s">
        <v>42</v>
      </c>
      <c r="H192">
        <v>16</v>
      </c>
      <c r="I192">
        <v>0</v>
      </c>
      <c r="J192">
        <v>40489202</v>
      </c>
      <c r="K192">
        <v>-40489202</v>
      </c>
      <c r="L192" t="s">
        <v>17</v>
      </c>
      <c r="M192" t="s">
        <v>25</v>
      </c>
      <c r="N192" t="s">
        <v>266</v>
      </c>
      <c r="O192" t="s">
        <v>19</v>
      </c>
      <c r="P192">
        <v>7.73</v>
      </c>
      <c r="Q192">
        <v>8.5399999999999991</v>
      </c>
    </row>
    <row r="193" spans="1:17" x14ac:dyDescent="0.25">
      <c r="A193" t="s">
        <v>215</v>
      </c>
      <c r="B193" s="1">
        <v>45006</v>
      </c>
      <c r="C193" t="s">
        <v>256</v>
      </c>
      <c r="D193">
        <v>2023</v>
      </c>
      <c r="E193" t="s">
        <v>54</v>
      </c>
      <c r="F193" t="s">
        <v>55</v>
      </c>
      <c r="G193" t="s">
        <v>47</v>
      </c>
      <c r="H193">
        <v>39</v>
      </c>
      <c r="I193">
        <v>137115873</v>
      </c>
      <c r="J193">
        <v>79313286</v>
      </c>
      <c r="K193">
        <v>57802587</v>
      </c>
      <c r="L193" t="s">
        <v>24</v>
      </c>
      <c r="M193" t="s">
        <v>18</v>
      </c>
      <c r="N193" t="s">
        <v>267</v>
      </c>
      <c r="O193" t="s">
        <v>19</v>
      </c>
      <c r="P193">
        <v>11.83</v>
      </c>
      <c r="Q193">
        <v>13.15</v>
      </c>
    </row>
    <row r="194" spans="1:17" x14ac:dyDescent="0.25">
      <c r="A194" t="s">
        <v>221</v>
      </c>
      <c r="B194" s="1">
        <v>45196</v>
      </c>
      <c r="C194" t="s">
        <v>257</v>
      </c>
      <c r="D194">
        <v>2023</v>
      </c>
      <c r="E194" t="s">
        <v>33</v>
      </c>
      <c r="F194" t="s">
        <v>22</v>
      </c>
      <c r="G194" t="s">
        <v>56</v>
      </c>
      <c r="H194">
        <v>23</v>
      </c>
      <c r="I194">
        <v>0</v>
      </c>
      <c r="J194">
        <v>65790798</v>
      </c>
      <c r="K194">
        <v>-65790798</v>
      </c>
      <c r="L194" t="s">
        <v>24</v>
      </c>
      <c r="M194" t="s">
        <v>34</v>
      </c>
      <c r="N194" t="s">
        <v>267</v>
      </c>
      <c r="O194" t="s">
        <v>19</v>
      </c>
      <c r="P194">
        <v>4.75</v>
      </c>
      <c r="Q194">
        <v>7.01</v>
      </c>
    </row>
    <row r="195" spans="1:17" x14ac:dyDescent="0.25">
      <c r="A195" t="s">
        <v>228</v>
      </c>
      <c r="B195" s="1">
        <v>45349</v>
      </c>
      <c r="C195" t="s">
        <v>255</v>
      </c>
      <c r="D195">
        <v>2024</v>
      </c>
      <c r="E195" t="s">
        <v>14</v>
      </c>
      <c r="F195" t="s">
        <v>15</v>
      </c>
      <c r="G195" t="s">
        <v>29</v>
      </c>
      <c r="H195">
        <v>27</v>
      </c>
      <c r="I195">
        <v>0</v>
      </c>
      <c r="J195">
        <v>36989778</v>
      </c>
      <c r="K195">
        <v>-36989778</v>
      </c>
      <c r="L195" t="s">
        <v>69</v>
      </c>
      <c r="M195" t="s">
        <v>34</v>
      </c>
      <c r="N195" t="s">
        <v>265</v>
      </c>
      <c r="O195" t="s">
        <v>19</v>
      </c>
      <c r="P195">
        <v>6.21</v>
      </c>
      <c r="Q195">
        <v>7.07</v>
      </c>
    </row>
    <row r="196" spans="1:17" x14ac:dyDescent="0.25">
      <c r="A196" t="s">
        <v>230</v>
      </c>
      <c r="B196" s="1">
        <v>45367</v>
      </c>
      <c r="C196" t="s">
        <v>256</v>
      </c>
      <c r="D196">
        <v>2024</v>
      </c>
      <c r="E196" t="s">
        <v>67</v>
      </c>
      <c r="F196" t="s">
        <v>50</v>
      </c>
      <c r="G196" t="s">
        <v>23</v>
      </c>
      <c r="H196">
        <v>31</v>
      </c>
      <c r="I196">
        <v>144315130</v>
      </c>
      <c r="J196">
        <v>10059226</v>
      </c>
      <c r="K196">
        <v>134255904</v>
      </c>
      <c r="L196" t="s">
        <v>24</v>
      </c>
      <c r="M196" t="s">
        <v>18</v>
      </c>
      <c r="N196" t="s">
        <v>267</v>
      </c>
      <c r="O196" t="s">
        <v>39</v>
      </c>
      <c r="P196">
        <v>6.52</v>
      </c>
      <c r="Q196">
        <v>3.37</v>
      </c>
    </row>
    <row r="197" spans="1:17" x14ac:dyDescent="0.25">
      <c r="A197" t="s">
        <v>235</v>
      </c>
      <c r="B197" s="1">
        <v>45184</v>
      </c>
      <c r="C197" t="s">
        <v>257</v>
      </c>
      <c r="D197">
        <v>2023</v>
      </c>
      <c r="E197" t="s">
        <v>33</v>
      </c>
      <c r="F197" t="s">
        <v>22</v>
      </c>
      <c r="G197" t="s">
        <v>29</v>
      </c>
      <c r="H197">
        <v>26</v>
      </c>
      <c r="I197">
        <v>17821350</v>
      </c>
      <c r="J197">
        <v>64904546</v>
      </c>
      <c r="K197">
        <v>-47083196</v>
      </c>
      <c r="L197" t="s">
        <v>69</v>
      </c>
      <c r="M197" t="s">
        <v>18</v>
      </c>
      <c r="N197" t="s">
        <v>265</v>
      </c>
      <c r="O197" t="s">
        <v>39</v>
      </c>
      <c r="P197">
        <v>4.75</v>
      </c>
      <c r="Q197">
        <v>7.01</v>
      </c>
    </row>
    <row r="198" spans="1:17" x14ac:dyDescent="0.25">
      <c r="A198" t="s">
        <v>236</v>
      </c>
      <c r="B198" s="1">
        <v>44997</v>
      </c>
      <c r="C198" t="s">
        <v>256</v>
      </c>
      <c r="D198">
        <v>2023</v>
      </c>
      <c r="E198" t="s">
        <v>27</v>
      </c>
      <c r="F198" t="s">
        <v>28</v>
      </c>
      <c r="G198" t="s">
        <v>47</v>
      </c>
      <c r="H198">
        <v>40</v>
      </c>
      <c r="I198">
        <v>0</v>
      </c>
      <c r="J198">
        <v>10528032</v>
      </c>
      <c r="K198">
        <v>-10528032</v>
      </c>
      <c r="L198" t="s">
        <v>69</v>
      </c>
      <c r="M198" t="s">
        <v>34</v>
      </c>
      <c r="N198" t="s">
        <v>265</v>
      </c>
      <c r="O198" t="s">
        <v>39</v>
      </c>
      <c r="P198">
        <v>7.73</v>
      </c>
      <c r="Q198">
        <v>8.5399999999999991</v>
      </c>
    </row>
    <row r="199" spans="1:17" x14ac:dyDescent="0.25">
      <c r="A199" t="s">
        <v>240</v>
      </c>
      <c r="B199" s="1">
        <v>45212</v>
      </c>
      <c r="C199" t="s">
        <v>251</v>
      </c>
      <c r="D199">
        <v>2023</v>
      </c>
      <c r="E199" t="s">
        <v>44</v>
      </c>
      <c r="F199" t="s">
        <v>37</v>
      </c>
      <c r="G199" t="s">
        <v>29</v>
      </c>
      <c r="H199">
        <v>10</v>
      </c>
      <c r="I199">
        <v>0</v>
      </c>
      <c r="J199">
        <v>78900046</v>
      </c>
      <c r="K199">
        <v>-78900046</v>
      </c>
      <c r="L199" t="s">
        <v>24</v>
      </c>
      <c r="M199" t="s">
        <v>25</v>
      </c>
      <c r="N199" t="s">
        <v>267</v>
      </c>
      <c r="O199" t="s">
        <v>19</v>
      </c>
      <c r="P199">
        <v>12.99</v>
      </c>
      <c r="Q199">
        <v>7.6</v>
      </c>
    </row>
    <row r="200" spans="1:17" x14ac:dyDescent="0.25">
      <c r="A200" t="s">
        <v>241</v>
      </c>
      <c r="B200" s="1">
        <v>45057</v>
      </c>
      <c r="C200" t="s">
        <v>259</v>
      </c>
      <c r="D200">
        <v>2023</v>
      </c>
      <c r="E200" t="s">
        <v>54</v>
      </c>
      <c r="F200" t="s">
        <v>55</v>
      </c>
      <c r="G200" t="s">
        <v>47</v>
      </c>
      <c r="H200">
        <v>37</v>
      </c>
      <c r="I200">
        <v>104511115</v>
      </c>
      <c r="J200">
        <v>88701613</v>
      </c>
      <c r="K200">
        <v>15809502</v>
      </c>
      <c r="L200" t="s">
        <v>24</v>
      </c>
      <c r="M200" t="s">
        <v>25</v>
      </c>
      <c r="N200" t="s">
        <v>267</v>
      </c>
      <c r="O200" t="s">
        <v>39</v>
      </c>
      <c r="P200">
        <v>11.83</v>
      </c>
      <c r="Q200">
        <v>13.15</v>
      </c>
    </row>
    <row r="201" spans="1:17" x14ac:dyDescent="0.25">
      <c r="A201" t="s">
        <v>247</v>
      </c>
      <c r="B201" s="1">
        <v>45197</v>
      </c>
      <c r="C201" t="s">
        <v>257</v>
      </c>
      <c r="D201">
        <v>2023</v>
      </c>
      <c r="E201" t="s">
        <v>44</v>
      </c>
      <c r="F201" t="s">
        <v>37</v>
      </c>
      <c r="G201" t="s">
        <v>42</v>
      </c>
      <c r="H201">
        <v>4</v>
      </c>
      <c r="I201">
        <v>147203339</v>
      </c>
      <c r="J201">
        <v>95400710</v>
      </c>
      <c r="K201">
        <v>51802629</v>
      </c>
      <c r="L201" t="s">
        <v>24</v>
      </c>
      <c r="M201" t="s">
        <v>25</v>
      </c>
      <c r="N201" t="s">
        <v>267</v>
      </c>
      <c r="O201" t="s">
        <v>39</v>
      </c>
      <c r="P201">
        <v>12.99</v>
      </c>
      <c r="Q201">
        <v>7.6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7B23-BAC7-4999-8853-9845316AAE5C}">
  <dimension ref="A1:B32"/>
  <sheetViews>
    <sheetView topLeftCell="A25" zoomScale="64" zoomScaleNormal="64" workbookViewId="0">
      <selection activeCell="O42" sqref="O42"/>
    </sheetView>
  </sheetViews>
  <sheetFormatPr defaultRowHeight="15" x14ac:dyDescent="0.25"/>
  <cols>
    <col min="1" max="1" width="13.140625" bestFit="1" customWidth="1"/>
    <col min="2" max="2" width="26.28515625" bestFit="1" customWidth="1"/>
  </cols>
  <sheetData>
    <row r="1" spans="1:2" x14ac:dyDescent="0.25">
      <c r="A1" s="2" t="s">
        <v>268</v>
      </c>
      <c r="B1" t="s">
        <v>273</v>
      </c>
    </row>
    <row r="2" spans="1:2" x14ac:dyDescent="0.25">
      <c r="A2" s="3" t="s">
        <v>61</v>
      </c>
      <c r="B2">
        <v>25</v>
      </c>
    </row>
    <row r="3" spans="1:2" x14ac:dyDescent="0.25">
      <c r="A3" s="3" t="s">
        <v>14</v>
      </c>
      <c r="B3">
        <v>16</v>
      </c>
    </row>
    <row r="4" spans="1:2" x14ac:dyDescent="0.25">
      <c r="A4" s="3" t="s">
        <v>27</v>
      </c>
      <c r="B4">
        <v>11</v>
      </c>
    </row>
    <row r="5" spans="1:2" x14ac:dyDescent="0.25">
      <c r="A5" s="3" t="s">
        <v>54</v>
      </c>
      <c r="B5">
        <v>14</v>
      </c>
    </row>
    <row r="6" spans="1:2" x14ac:dyDescent="0.25">
      <c r="A6" s="3" t="s">
        <v>21</v>
      </c>
      <c r="B6">
        <v>9</v>
      </c>
    </row>
    <row r="7" spans="1:2" x14ac:dyDescent="0.25">
      <c r="A7" s="3" t="s">
        <v>36</v>
      </c>
      <c r="B7">
        <v>23</v>
      </c>
    </row>
    <row r="8" spans="1:2" x14ac:dyDescent="0.25">
      <c r="A8" s="3" t="s">
        <v>52</v>
      </c>
      <c r="B8">
        <v>13</v>
      </c>
    </row>
    <row r="9" spans="1:2" x14ac:dyDescent="0.25">
      <c r="A9" s="3" t="s">
        <v>44</v>
      </c>
      <c r="B9">
        <v>16</v>
      </c>
    </row>
    <row r="10" spans="1:2" x14ac:dyDescent="0.25">
      <c r="A10" s="3" t="s">
        <v>67</v>
      </c>
      <c r="B10">
        <v>10</v>
      </c>
    </row>
    <row r="11" spans="1:2" x14ac:dyDescent="0.25">
      <c r="A11" s="3" t="s">
        <v>58</v>
      </c>
      <c r="B11">
        <v>12</v>
      </c>
    </row>
    <row r="12" spans="1:2" x14ac:dyDescent="0.25">
      <c r="A12" s="3" t="s">
        <v>49</v>
      </c>
      <c r="B12">
        <v>14</v>
      </c>
    </row>
    <row r="13" spans="1:2" x14ac:dyDescent="0.25">
      <c r="A13" s="3" t="s">
        <v>33</v>
      </c>
      <c r="B13">
        <v>14</v>
      </c>
    </row>
    <row r="14" spans="1:2" x14ac:dyDescent="0.25">
      <c r="A14" s="3" t="s">
        <v>65</v>
      </c>
      <c r="B14">
        <v>23</v>
      </c>
    </row>
    <row r="15" spans="1:2" x14ac:dyDescent="0.25">
      <c r="A15" s="3" t="s">
        <v>269</v>
      </c>
      <c r="B15">
        <v>200</v>
      </c>
    </row>
    <row r="19" spans="1:2" x14ac:dyDescent="0.25">
      <c r="A19" s="3" t="s">
        <v>61</v>
      </c>
      <c r="B19">
        <v>25</v>
      </c>
    </row>
    <row r="20" spans="1:2" x14ac:dyDescent="0.25">
      <c r="A20" s="3" t="s">
        <v>14</v>
      </c>
      <c r="B20">
        <v>16</v>
      </c>
    </row>
    <row r="21" spans="1:2" x14ac:dyDescent="0.25">
      <c r="A21" s="3" t="s">
        <v>27</v>
      </c>
      <c r="B21">
        <v>11</v>
      </c>
    </row>
    <row r="22" spans="1:2" x14ac:dyDescent="0.25">
      <c r="A22" s="3" t="s">
        <v>54</v>
      </c>
      <c r="B22">
        <v>14</v>
      </c>
    </row>
    <row r="23" spans="1:2" x14ac:dyDescent="0.25">
      <c r="A23" s="3" t="s">
        <v>21</v>
      </c>
      <c r="B23">
        <v>9</v>
      </c>
    </row>
    <row r="24" spans="1:2" x14ac:dyDescent="0.25">
      <c r="A24" s="3" t="s">
        <v>36</v>
      </c>
      <c r="B24">
        <v>23</v>
      </c>
    </row>
    <row r="25" spans="1:2" x14ac:dyDescent="0.25">
      <c r="A25" s="3" t="s">
        <v>52</v>
      </c>
      <c r="B25">
        <v>13</v>
      </c>
    </row>
    <row r="26" spans="1:2" x14ac:dyDescent="0.25">
      <c r="A26" s="3" t="s">
        <v>44</v>
      </c>
      <c r="B26">
        <v>16</v>
      </c>
    </row>
    <row r="27" spans="1:2" x14ac:dyDescent="0.25">
      <c r="A27" s="3" t="s">
        <v>67</v>
      </c>
      <c r="B27">
        <v>10</v>
      </c>
    </row>
    <row r="28" spans="1:2" x14ac:dyDescent="0.25">
      <c r="A28" s="3" t="s">
        <v>58</v>
      </c>
      <c r="B28">
        <v>12</v>
      </c>
    </row>
    <row r="29" spans="1:2" x14ac:dyDescent="0.25">
      <c r="A29" s="3" t="s">
        <v>49</v>
      </c>
      <c r="B29">
        <v>14</v>
      </c>
    </row>
    <row r="30" spans="1:2" x14ac:dyDescent="0.25">
      <c r="A30" s="3" t="s">
        <v>33</v>
      </c>
      <c r="B30">
        <v>14</v>
      </c>
    </row>
    <row r="31" spans="1:2" x14ac:dyDescent="0.25">
      <c r="A31" s="3" t="s">
        <v>65</v>
      </c>
      <c r="B31">
        <v>23</v>
      </c>
    </row>
    <row r="32" spans="1:2" x14ac:dyDescent="0.25">
      <c r="A32" s="3" t="s">
        <v>65</v>
      </c>
      <c r="B32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CB48-4A54-4699-BB09-59AEFF8EEA5D}">
  <dimension ref="A1"/>
  <sheetViews>
    <sheetView showGridLines="0" topLeftCell="A63" zoomScale="43" zoomScaleNormal="43" workbookViewId="0">
      <selection activeCell="AK79" sqref="AK79"/>
    </sheetView>
  </sheetViews>
  <sheetFormatPr defaultRowHeight="15" x14ac:dyDescent="0.25"/>
  <cols>
    <col min="1" max="16384" width="9.140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81AB0E-CF72-4BA6-99C9-11EE45D753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Pivot table</vt:lpstr>
      <vt:lpstr>Table1_2</vt:lpstr>
      <vt:lpstr>Pivot chart</vt:lpstr>
      <vt:lpstr>Dashboard</vt:lpstr>
      <vt:lpstr>TA</vt:lpstr>
      <vt:lpstr>TD</vt:lpstr>
      <vt:lpstr>TI</vt:lpstr>
      <vt:lpstr>TU</vt:lpstr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SHEILA KHAYESHE</cp:lastModifiedBy>
  <dcterms:created xsi:type="dcterms:W3CDTF">2026-04-10T16:10:27Z</dcterms:created>
  <dcterms:modified xsi:type="dcterms:W3CDTF">2026-05-17T19:50:54Z</dcterms:modified>
</cp:coreProperties>
</file>