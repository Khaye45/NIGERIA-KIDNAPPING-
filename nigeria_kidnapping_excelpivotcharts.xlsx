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_USER\Downloads\"/>
    </mc:Choice>
  </mc:AlternateContent>
  <xr:revisionPtr revIDLastSave="0" documentId="13_ncr:1_{543E2612-36D7-4B59-933F-4EB521F9CC92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Pivot table" sheetId="6" r:id="rId1"/>
    <sheet name="Table1_2" sheetId="5" r:id="rId2"/>
    <sheet name="Pivot chart" sheetId="7" r:id="rId3"/>
    <sheet name="Dashboard" sheetId="8" r:id="rId4"/>
  </sheets>
  <definedNames>
    <definedName name="_xlchart.v5.0" hidden="1">'Pivot chart'!$A$18</definedName>
    <definedName name="_xlchart.v5.1" hidden="1">'Pivot chart'!$A$19:$A$32</definedName>
    <definedName name="_xlchart.v5.2" hidden="1">'Pivot chart'!$B$18</definedName>
    <definedName name="_xlchart.v5.3" hidden="1">'Pivot chart'!$B$19:$B$32</definedName>
    <definedName name="_xlcn.WorksheetConnection_nigeria_kidnapping_datasetgrp.xlsxTable1_3" hidden="1">Table1_3[]</definedName>
    <definedName name="ExternalData_2" localSheetId="1" hidden="1">Table1_2!$A$1:$Q$201</definedName>
    <definedName name="TA">'Pivot table'!$F$54</definedName>
    <definedName name="TD">'Pivot table'!$G$54</definedName>
    <definedName name="TI">'Pivot table'!$J$56</definedName>
    <definedName name="TU">'Pivot table'!$H$54</definedName>
    <definedName name="TV">'Pivot table'!$J$53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  <pivotCache cacheId="11" r:id="rId16"/>
  </pivotCaches>
  <extLst>
    <ext xmlns:x15="http://schemas.microsoft.com/office/spreadsheetml/2010/11/main" uri="{FCE2AD5D-F65C-4FA6-A056-5C36A1767C68}">
      <x15:dataModel>
        <x15:modelTables>
          <x15:modelTable id="Table1_2_dfc9de4b-9d33-4cdf-8b3d-7296f3a60b2a" name="Table1_2" connection="Query - Table1_2"/>
          <x15:modelTable id="Table1_3" name="Table1_3" connection="WorksheetConnection_nigeria_kidnapping_dataset grp.xlsx!Table1_3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C345DA-64B2-46C3-8BE7-30FE57C9D632}" keepAlive="1" name="ModelConnection_ExternalData_2" description="Data Model" type="5" refreshedVersion="8" minRefreshableVersion="5" saveData="1">
    <dbPr connection="Data Model Connection" command="Table1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C960E57A-9916-4290-8A00-2EE86AC6B278}" name="Query - Table1_2" description="Connection to the 'Table1_2' query in the workbook." type="100" refreshedVersion="8" minRefreshableVersion="5">
    <extLst>
      <ext xmlns:x15="http://schemas.microsoft.com/office/spreadsheetml/2010/11/main" uri="{DE250136-89BD-433C-8126-D09CA5730AF9}">
        <x15:connection id="eb041d67-c42a-4a9f-9e47-e106ea044248"/>
      </ext>
    </extLst>
  </connection>
  <connection id="3" xr16:uid="{5D9B8FC9-C234-41D3-8158-78A770DFD0A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B1726DFA-0E99-4E4F-9475-2A135B7A30E3}" name="WorksheetConnection_nigeria_kidnapping_dataset grp.xlsx!Table1_3" type="102" refreshedVersion="8" minRefreshableVersion="5">
    <extLst>
      <ext xmlns:x15="http://schemas.microsoft.com/office/spreadsheetml/2010/11/main" uri="{DE250136-89BD-433C-8126-D09CA5730AF9}">
        <x15:connection id="Table1_3" autoDelete="1">
          <x15:rangePr sourceName="_xlcn.WorksheetConnection_nigeria_kidnapping_datasetgrp.xlsxTable1_3"/>
        </x15:connection>
      </ext>
    </extLst>
  </connection>
</connections>
</file>

<file path=xl/sharedStrings.xml><?xml version="1.0" encoding="utf-8"?>
<sst xmlns="http://schemas.openxmlformats.org/spreadsheetml/2006/main" count="1991" uniqueCount="277">
  <si>
    <t>Incident_ID</t>
  </si>
  <si>
    <t>Date</t>
  </si>
  <si>
    <t>State</t>
  </si>
  <si>
    <t>Region</t>
  </si>
  <si>
    <t>Location_Type</t>
  </si>
  <si>
    <t>Victims_Count</t>
  </si>
  <si>
    <t>Ransom_Demanded_NGN</t>
  </si>
  <si>
    <t>Ransom_Paid_NGN</t>
  </si>
  <si>
    <t>Outcome</t>
  </si>
  <si>
    <t>Security_Response</t>
  </si>
  <si>
    <t>Urban_Rural</t>
  </si>
  <si>
    <t>Latitude</t>
  </si>
  <si>
    <t>Longitude</t>
  </si>
  <si>
    <t>INC001</t>
  </si>
  <si>
    <t>Anambra</t>
  </si>
  <si>
    <t>South East</t>
  </si>
  <si>
    <t>Waterway</t>
  </si>
  <si>
    <t>Kidnapped</t>
  </si>
  <si>
    <t>Quick</t>
  </si>
  <si>
    <t>Urban</t>
  </si>
  <si>
    <t>INC002</t>
  </si>
  <si>
    <t>Delta</t>
  </si>
  <si>
    <t>South South</t>
  </si>
  <si>
    <t>School</t>
  </si>
  <si>
    <t>Killed</t>
  </si>
  <si>
    <t>Moderate</t>
  </si>
  <si>
    <t>INC003</t>
  </si>
  <si>
    <t>Benue</t>
  </si>
  <si>
    <t>North Central</t>
  </si>
  <si>
    <t>Market</t>
  </si>
  <si>
    <t>Escaped</t>
  </si>
  <si>
    <t>Delayed</t>
  </si>
  <si>
    <t>INC004</t>
  </si>
  <si>
    <t>Rivers</t>
  </si>
  <si>
    <t>No Response</t>
  </si>
  <si>
    <t>INC005</t>
  </si>
  <si>
    <t>Kaduna</t>
  </si>
  <si>
    <t>North West</t>
  </si>
  <si>
    <t>Village</t>
  </si>
  <si>
    <t>Rural</t>
  </si>
  <si>
    <t>INC006</t>
  </si>
  <si>
    <t>INC007</t>
  </si>
  <si>
    <t>Residential</t>
  </si>
  <si>
    <t>INC008</t>
  </si>
  <si>
    <t>Katsina</t>
  </si>
  <si>
    <t>INC009</t>
  </si>
  <si>
    <t>INC010</t>
  </si>
  <si>
    <t>Road</t>
  </si>
  <si>
    <t>INC011</t>
  </si>
  <si>
    <t>Oyo</t>
  </si>
  <si>
    <t>South West</t>
  </si>
  <si>
    <t>INC012</t>
  </si>
  <si>
    <t>Kano</t>
  </si>
  <si>
    <t>INC013</t>
  </si>
  <si>
    <t>Borno</t>
  </si>
  <si>
    <t>North East</t>
  </si>
  <si>
    <t>Farm</t>
  </si>
  <si>
    <t>INC014</t>
  </si>
  <si>
    <t>Ogun</t>
  </si>
  <si>
    <t>INC015</t>
  </si>
  <si>
    <t>INC016</t>
  </si>
  <si>
    <t>Abuja</t>
  </si>
  <si>
    <t>INC017</t>
  </si>
  <si>
    <t>INC018</t>
  </si>
  <si>
    <t>INC019</t>
  </si>
  <si>
    <t>Zamfara</t>
  </si>
  <si>
    <t>INC020</t>
  </si>
  <si>
    <t>Lagos</t>
  </si>
  <si>
    <t>INC021</t>
  </si>
  <si>
    <t>Released</t>
  </si>
  <si>
    <t>INC022</t>
  </si>
  <si>
    <t>INC023</t>
  </si>
  <si>
    <t>INC024</t>
  </si>
  <si>
    <t>INC025</t>
  </si>
  <si>
    <t>INC026</t>
  </si>
  <si>
    <t>INC027</t>
  </si>
  <si>
    <t>INC028</t>
  </si>
  <si>
    <t>INC029</t>
  </si>
  <si>
    <t>INC030</t>
  </si>
  <si>
    <t>INC031</t>
  </si>
  <si>
    <t>INC032</t>
  </si>
  <si>
    <t>INC033</t>
  </si>
  <si>
    <t>INC034</t>
  </si>
  <si>
    <t>INC035</t>
  </si>
  <si>
    <t>INC036</t>
  </si>
  <si>
    <t>INC037</t>
  </si>
  <si>
    <t>INC038</t>
  </si>
  <si>
    <t>INC039</t>
  </si>
  <si>
    <t>INC040</t>
  </si>
  <si>
    <t>INC041</t>
  </si>
  <si>
    <t>INC042</t>
  </si>
  <si>
    <t>INC043</t>
  </si>
  <si>
    <t>INC044</t>
  </si>
  <si>
    <t>INC045</t>
  </si>
  <si>
    <t>INC046</t>
  </si>
  <si>
    <t>INC047</t>
  </si>
  <si>
    <t>INC048</t>
  </si>
  <si>
    <t>INC049</t>
  </si>
  <si>
    <t>INC050</t>
  </si>
  <si>
    <t>INC051</t>
  </si>
  <si>
    <t>INC052</t>
  </si>
  <si>
    <t>INC053</t>
  </si>
  <si>
    <t>INC054</t>
  </si>
  <si>
    <t>INC055</t>
  </si>
  <si>
    <t>INC056</t>
  </si>
  <si>
    <t>INC057</t>
  </si>
  <si>
    <t>INC058</t>
  </si>
  <si>
    <t>INC059</t>
  </si>
  <si>
    <t>INC060</t>
  </si>
  <si>
    <t>INC061</t>
  </si>
  <si>
    <t>INC062</t>
  </si>
  <si>
    <t>INC063</t>
  </si>
  <si>
    <t>INC064</t>
  </si>
  <si>
    <t>INC065</t>
  </si>
  <si>
    <t>INC066</t>
  </si>
  <si>
    <t>INC067</t>
  </si>
  <si>
    <t>INC068</t>
  </si>
  <si>
    <t>INC069</t>
  </si>
  <si>
    <t>INC070</t>
  </si>
  <si>
    <t>INC071</t>
  </si>
  <si>
    <t>INC072</t>
  </si>
  <si>
    <t>INC073</t>
  </si>
  <si>
    <t>INC074</t>
  </si>
  <si>
    <t>INC075</t>
  </si>
  <si>
    <t>INC076</t>
  </si>
  <si>
    <t>INC077</t>
  </si>
  <si>
    <t>INC078</t>
  </si>
  <si>
    <t>INC079</t>
  </si>
  <si>
    <t>INC080</t>
  </si>
  <si>
    <t>INC081</t>
  </si>
  <si>
    <t>INC082</t>
  </si>
  <si>
    <t>INC083</t>
  </si>
  <si>
    <t>INC084</t>
  </si>
  <si>
    <t>INC085</t>
  </si>
  <si>
    <t>INC086</t>
  </si>
  <si>
    <t>INC087</t>
  </si>
  <si>
    <t>INC088</t>
  </si>
  <si>
    <t>INC089</t>
  </si>
  <si>
    <t>INC090</t>
  </si>
  <si>
    <t>INC091</t>
  </si>
  <si>
    <t>INC092</t>
  </si>
  <si>
    <t>INC093</t>
  </si>
  <si>
    <t>INC094</t>
  </si>
  <si>
    <t>INC095</t>
  </si>
  <si>
    <t>INC096</t>
  </si>
  <si>
    <t>INC097</t>
  </si>
  <si>
    <t>INC098</t>
  </si>
  <si>
    <t>INC099</t>
  </si>
  <si>
    <t>INC100</t>
  </si>
  <si>
    <t>INC101</t>
  </si>
  <si>
    <t>INC102</t>
  </si>
  <si>
    <t>INC103</t>
  </si>
  <si>
    <t>INC104</t>
  </si>
  <si>
    <t>INC105</t>
  </si>
  <si>
    <t>INC106</t>
  </si>
  <si>
    <t>INC107</t>
  </si>
  <si>
    <t>INC108</t>
  </si>
  <si>
    <t>INC109</t>
  </si>
  <si>
    <t>INC110</t>
  </si>
  <si>
    <t>INC111</t>
  </si>
  <si>
    <t>INC112</t>
  </si>
  <si>
    <t>INC113</t>
  </si>
  <si>
    <t>INC114</t>
  </si>
  <si>
    <t>INC115</t>
  </si>
  <si>
    <t>INC116</t>
  </si>
  <si>
    <t>INC117</t>
  </si>
  <si>
    <t>INC118</t>
  </si>
  <si>
    <t>INC119</t>
  </si>
  <si>
    <t>INC120</t>
  </si>
  <si>
    <t>INC121</t>
  </si>
  <si>
    <t>INC122</t>
  </si>
  <si>
    <t>INC123</t>
  </si>
  <si>
    <t>INC124</t>
  </si>
  <si>
    <t>INC125</t>
  </si>
  <si>
    <t>INC126</t>
  </si>
  <si>
    <t>INC127</t>
  </si>
  <si>
    <t>INC128</t>
  </si>
  <si>
    <t>INC129</t>
  </si>
  <si>
    <t>INC130</t>
  </si>
  <si>
    <t>INC131</t>
  </si>
  <si>
    <t>INC132</t>
  </si>
  <si>
    <t>INC133</t>
  </si>
  <si>
    <t>INC134</t>
  </si>
  <si>
    <t>INC135</t>
  </si>
  <si>
    <t>INC136</t>
  </si>
  <si>
    <t>INC137</t>
  </si>
  <si>
    <t>INC138</t>
  </si>
  <si>
    <t>INC139</t>
  </si>
  <si>
    <t>INC140</t>
  </si>
  <si>
    <t>INC141</t>
  </si>
  <si>
    <t>INC142</t>
  </si>
  <si>
    <t>INC143</t>
  </si>
  <si>
    <t>INC144</t>
  </si>
  <si>
    <t>INC145</t>
  </si>
  <si>
    <t>INC146</t>
  </si>
  <si>
    <t>INC147</t>
  </si>
  <si>
    <t>INC148</t>
  </si>
  <si>
    <t>INC149</t>
  </si>
  <si>
    <t>INC150</t>
  </si>
  <si>
    <t>INC151</t>
  </si>
  <si>
    <t>INC152</t>
  </si>
  <si>
    <t>INC153</t>
  </si>
  <si>
    <t>INC154</t>
  </si>
  <si>
    <t>INC155</t>
  </si>
  <si>
    <t>INC156</t>
  </si>
  <si>
    <t>INC157</t>
  </si>
  <si>
    <t>INC158</t>
  </si>
  <si>
    <t>INC159</t>
  </si>
  <si>
    <t>INC160</t>
  </si>
  <si>
    <t>INC161</t>
  </si>
  <si>
    <t>INC162</t>
  </si>
  <si>
    <t>INC163</t>
  </si>
  <si>
    <t>INC164</t>
  </si>
  <si>
    <t>INC165</t>
  </si>
  <si>
    <t>INC166</t>
  </si>
  <si>
    <t>INC167</t>
  </si>
  <si>
    <t>INC168</t>
  </si>
  <si>
    <t>INC169</t>
  </si>
  <si>
    <t>INC170</t>
  </si>
  <si>
    <t>INC171</t>
  </si>
  <si>
    <t>INC172</t>
  </si>
  <si>
    <t>INC173</t>
  </si>
  <si>
    <t>INC174</t>
  </si>
  <si>
    <t>INC175</t>
  </si>
  <si>
    <t>INC176</t>
  </si>
  <si>
    <t>INC177</t>
  </si>
  <si>
    <t>INC178</t>
  </si>
  <si>
    <t>INC179</t>
  </si>
  <si>
    <t>INC180</t>
  </si>
  <si>
    <t>INC181</t>
  </si>
  <si>
    <t>INC182</t>
  </si>
  <si>
    <t>INC183</t>
  </si>
  <si>
    <t>INC184</t>
  </si>
  <si>
    <t>INC185</t>
  </si>
  <si>
    <t>INC186</t>
  </si>
  <si>
    <t>INC187</t>
  </si>
  <si>
    <t>INC188</t>
  </si>
  <si>
    <t>INC189</t>
  </si>
  <si>
    <t>INC190</t>
  </si>
  <si>
    <t>INC191</t>
  </si>
  <si>
    <t>INC192</t>
  </si>
  <si>
    <t>INC193</t>
  </si>
  <si>
    <t>INC194</t>
  </si>
  <si>
    <t>INC195</t>
  </si>
  <si>
    <t>INC196</t>
  </si>
  <si>
    <t>INC197</t>
  </si>
  <si>
    <t>INC198</t>
  </si>
  <si>
    <t>INC199</t>
  </si>
  <si>
    <t>INC200</t>
  </si>
  <si>
    <t>Month</t>
  </si>
  <si>
    <t>Year</t>
  </si>
  <si>
    <t>Oct</t>
  </si>
  <si>
    <t>Jun</t>
  </si>
  <si>
    <t>Jan</t>
  </si>
  <si>
    <t>Aug</t>
  </si>
  <si>
    <t>Feb</t>
  </si>
  <si>
    <t>Mar</t>
  </si>
  <si>
    <t>Sep</t>
  </si>
  <si>
    <t>Apr</t>
  </si>
  <si>
    <t>May</t>
  </si>
  <si>
    <t>Nov</t>
  </si>
  <si>
    <t>Jul</t>
  </si>
  <si>
    <t>Dec</t>
  </si>
  <si>
    <t>Ransom_gap</t>
  </si>
  <si>
    <t>Survival_Flap</t>
  </si>
  <si>
    <t>Alive</t>
  </si>
  <si>
    <t>Unknown</t>
  </si>
  <si>
    <t>Dead</t>
  </si>
  <si>
    <t>Row Labels</t>
  </si>
  <si>
    <t>Grand Total</t>
  </si>
  <si>
    <t>Count of Incident_ID</t>
  </si>
  <si>
    <t>Count of Outcome</t>
  </si>
  <si>
    <t>Column Labels</t>
  </si>
  <si>
    <t>Sum of Count of Incident_ID</t>
  </si>
  <si>
    <t>Average of Ransom_Demanded_NGN</t>
  </si>
  <si>
    <t>Average of Ransom_Paid_NGN</t>
  </si>
  <si>
    <t>Sum of Victims_Count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</si>
</sst>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&gt;=1000000]\₦0.0000,,&quot;M&quot;;[&gt;=1000]\₦0.0000,&quot;K&quot;;\₦0.0000"/>
    <numFmt numFmtId="165" formatCode="[&gt;=1000000]\₦0,,&quot;M&quot;;[&gt;=1000]\₦0,&quot;K&quot;;\₦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165" formatCode="[&gt;=1000000]\₦0,,&quot;M&quot;;[&gt;=1000]\₦0,&quot;K&quot;;\₦0"/>
    </dxf>
    <dxf>
      <numFmt numFmtId="164" formatCode="[&gt;=1000000]\₦0.0000,,&quot;M&quot;;[&gt;=1000]\₦0.0000,&quot;K&quot;;\₦0.0000"/>
    </dxf>
    <dxf>
      <numFmt numFmtId="166" formatCode="[&gt;=1000000]0.0000,,&quot;M&quot;;[&gt;=1000]0.0000,&quot;K&quot;;0.0000"/>
    </dxf>
  </dxfs>
  <tableStyles count="0" defaultTableStyle="TableStyleMedium9" defaultPivotStyle="PivotStyleLight16"/>
  <colors>
    <mruColors>
      <color rgb="FF008B2C"/>
      <color rgb="FF1B7339"/>
      <color rgb="FF0087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10" Type="http://schemas.openxmlformats.org/officeDocument/2006/relationships/pivotCacheDefinition" Target="pivotCache/pivotCacheDefinition6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[nigeria_kidnapping_dataset grp 2.xlsx]Pivot table!PivotTable6</c:name>
    <c:fmtId val="4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1B7339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96178029863945E-2"/>
          <c:y val="2.8237042974951426E-2"/>
          <c:w val="0.83411072032969469"/>
          <c:h val="0.8581827110893716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table'!$E$24:$E$25</c:f>
              <c:strCache>
                <c:ptCount val="1"/>
                <c:pt idx="0">
                  <c:v>Escaped</c:v>
                </c:pt>
              </c:strCache>
            </c:strRef>
          </c:tx>
          <c:spPr>
            <a:solidFill>
              <a:schemeClr val="accent3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table'!$E$26:$E$30</c:f>
              <c:numCache>
                <c:formatCode>General</c:formatCode>
                <c:ptCount val="4"/>
                <c:pt idx="0">
                  <c:v>25</c:v>
                </c:pt>
                <c:pt idx="1">
                  <c:v>8</c:v>
                </c:pt>
                <c:pt idx="2">
                  <c:v>7</c:v>
                </c:pt>
                <c:pt idx="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E1-4EC7-A3CF-DC4E976D0264}"/>
            </c:ext>
          </c:extLst>
        </c:ser>
        <c:ser>
          <c:idx val="1"/>
          <c:order val="1"/>
          <c:tx>
            <c:strRef>
              <c:f>'Pivot table'!$F$24:$F$25</c:f>
              <c:strCache>
                <c:ptCount val="1"/>
                <c:pt idx="0">
                  <c:v>Kidnapped</c:v>
                </c:pt>
              </c:strCache>
            </c:strRef>
          </c:tx>
          <c:spPr>
            <a:solidFill>
              <a:schemeClr val="accent3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table'!$F$26:$F$30</c:f>
              <c:numCache>
                <c:formatCode>General</c:formatCode>
                <c:ptCount val="4"/>
                <c:pt idx="0">
                  <c:v>10</c:v>
                </c:pt>
                <c:pt idx="1">
                  <c:v>21</c:v>
                </c:pt>
                <c:pt idx="2">
                  <c:v>5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E1-4EC7-A3CF-DC4E976D0264}"/>
            </c:ext>
          </c:extLst>
        </c:ser>
        <c:ser>
          <c:idx val="2"/>
          <c:order val="2"/>
          <c:tx>
            <c:strRef>
              <c:f>'Pivot table'!$G$24:$G$25</c:f>
              <c:strCache>
                <c:ptCount val="1"/>
                <c:pt idx="0">
                  <c:v>Killed</c:v>
                </c:pt>
              </c:strCache>
            </c:strRef>
          </c:tx>
          <c:spPr>
            <a:solidFill>
              <a:schemeClr val="accent3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table'!$G$26:$G$30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10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E1-4EC7-A3CF-DC4E976D0264}"/>
            </c:ext>
          </c:extLst>
        </c:ser>
        <c:ser>
          <c:idx val="3"/>
          <c:order val="3"/>
          <c:tx>
            <c:strRef>
              <c:f>'Pivot table'!$H$24:$H$25</c:f>
              <c:strCache>
                <c:ptCount val="1"/>
                <c:pt idx="0">
                  <c:v>Released</c:v>
                </c:pt>
              </c:strCache>
            </c:strRef>
          </c:tx>
          <c:spPr>
            <a:solidFill>
              <a:schemeClr val="accent3">
                <a:tint val="5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1B7339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table'!$D$26:$D$30</c:f>
              <c:strCache>
                <c:ptCount val="4"/>
                <c:pt idx="0">
                  <c:v>Delayed</c:v>
                </c:pt>
                <c:pt idx="1">
                  <c:v>Moderate</c:v>
                </c:pt>
                <c:pt idx="2">
                  <c:v>No Response</c:v>
                </c:pt>
                <c:pt idx="3">
                  <c:v>Quick</c:v>
                </c:pt>
              </c:strCache>
            </c:strRef>
          </c:cat>
          <c:val>
            <c:numRef>
              <c:f>'Pivot table'!$H$26:$H$30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16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E1-4EC7-A3CF-DC4E976D026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6513712"/>
        <c:axId val="446513232"/>
      </c:barChart>
      <c:catAx>
        <c:axId val="44651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rgbClr val="008B2C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513232"/>
        <c:crosses val="autoZero"/>
        <c:auto val="1"/>
        <c:lblAlgn val="ctr"/>
        <c:lblOffset val="100"/>
        <c:noMultiLvlLbl val="0"/>
      </c:catAx>
      <c:valAx>
        <c:axId val="44651323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4651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16958873292179"/>
          <c:y val="0.21369400383403031"/>
          <c:w val="0.15226023213194864"/>
          <c:h val="0.62314896664913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rgbClr val="1B7339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[nigeria_kidnapping_dataset grp 2.xlsx]Pivot table!PivotTable21</c:name>
    <c:fmtId val="8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6406761844177817"/>
          <c:y val="7.694605670253038E-2"/>
          <c:w val="0.63059448818897634"/>
          <c:h val="0.89814814814814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table'!$F$57:$F$58</c:f>
              <c:strCache>
                <c:ptCount val="1"/>
                <c:pt idx="0">
                  <c:v>Alive</c:v>
                </c:pt>
              </c:strCache>
            </c:strRef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table'!$E$59:$E$65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table'!$F$59:$F$65</c:f>
              <c:numCache>
                <c:formatCode>General</c:formatCode>
                <c:ptCount val="6"/>
                <c:pt idx="0">
                  <c:v>377</c:v>
                </c:pt>
                <c:pt idx="1">
                  <c:v>98</c:v>
                </c:pt>
                <c:pt idx="2">
                  <c:v>699</c:v>
                </c:pt>
                <c:pt idx="3">
                  <c:v>83</c:v>
                </c:pt>
                <c:pt idx="4">
                  <c:v>197</c:v>
                </c:pt>
                <c:pt idx="5">
                  <c:v>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0-497D-A093-421D21F608F1}"/>
            </c:ext>
          </c:extLst>
        </c:ser>
        <c:ser>
          <c:idx val="1"/>
          <c:order val="1"/>
          <c:tx>
            <c:strRef>
              <c:f>'Pivot table'!$G$57:$G$58</c:f>
              <c:strCache>
                <c:ptCount val="1"/>
                <c:pt idx="0">
                  <c:v>Dead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table'!$E$59:$E$65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table'!$G$59:$G$65</c:f>
              <c:numCache>
                <c:formatCode>General</c:formatCode>
                <c:ptCount val="6"/>
                <c:pt idx="0">
                  <c:v>179</c:v>
                </c:pt>
                <c:pt idx="1">
                  <c:v>155</c:v>
                </c:pt>
                <c:pt idx="2">
                  <c:v>428</c:v>
                </c:pt>
                <c:pt idx="3">
                  <c:v>85</c:v>
                </c:pt>
                <c:pt idx="4">
                  <c:v>160</c:v>
                </c:pt>
                <c:pt idx="5">
                  <c:v>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60-497D-A093-421D21F608F1}"/>
            </c:ext>
          </c:extLst>
        </c:ser>
        <c:ser>
          <c:idx val="2"/>
          <c:order val="2"/>
          <c:tx>
            <c:strRef>
              <c:f>'Pivot table'!$H$57:$H$58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table'!$E$59:$E$65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table'!$H$59:$H$65</c:f>
              <c:numCache>
                <c:formatCode>General</c:formatCode>
                <c:ptCount val="6"/>
                <c:pt idx="0">
                  <c:v>255</c:v>
                </c:pt>
                <c:pt idx="1">
                  <c:v>94</c:v>
                </c:pt>
                <c:pt idx="2">
                  <c:v>317</c:v>
                </c:pt>
                <c:pt idx="3">
                  <c:v>158</c:v>
                </c:pt>
                <c:pt idx="4">
                  <c:v>156</c:v>
                </c:pt>
                <c:pt idx="5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60-497D-A093-421D21F60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11464480"/>
        <c:axId val="2011464960"/>
      </c:barChart>
      <c:catAx>
        <c:axId val="2011464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008B2C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464960"/>
        <c:crosses val="autoZero"/>
        <c:auto val="1"/>
        <c:lblAlgn val="ctr"/>
        <c:lblOffset val="100"/>
        <c:noMultiLvlLbl val="0"/>
      </c:catAx>
      <c:valAx>
        <c:axId val="20114649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1146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80193071120788"/>
          <c:y val="0.19983422377045484"/>
          <c:w val="0.17442255922323557"/>
          <c:h val="0.61278438042768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rgbClr val="008B2C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[nigeria_kidnapping_dataset grp 2.xlsx]Pivot table!PivotTable3</c:name>
    <c:fmtId val="5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11111111111109E-2"/>
          <c:y val="5.5555555555555552E-2"/>
          <c:w val="0.93888888888888888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table'!$E$13</c:f>
              <c:strCache>
                <c:ptCount val="1"/>
                <c:pt idx="0">
                  <c:v>Average of Ransom_Demanded_NGN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table'!$D$14:$D$20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table'!$E$14:$E$20</c:f>
              <c:numCache>
                <c:formatCode>[&gt;=1000000]\₦0,,"M";[&gt;=1000]\₦0,"K";\₦0</c:formatCode>
                <c:ptCount val="6"/>
                <c:pt idx="0">
                  <c:v>38299281.305555552</c:v>
                </c:pt>
                <c:pt idx="1">
                  <c:v>59107514.714285716</c:v>
                </c:pt>
                <c:pt idx="2">
                  <c:v>37960950.826666668</c:v>
                </c:pt>
                <c:pt idx="3">
                  <c:v>34256171</c:v>
                </c:pt>
                <c:pt idx="4">
                  <c:v>32143816.260869566</c:v>
                </c:pt>
                <c:pt idx="5">
                  <c:v>37721681.611111112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96-42CD-8A6F-2E1E94925751}"/>
            </c:ext>
          </c:extLst>
        </c:ser>
        <c:ser>
          <c:idx val="1"/>
          <c:order val="1"/>
          <c:tx>
            <c:strRef>
              <c:f>'Pivot table'!$F$13</c:f>
              <c:strCache>
                <c:ptCount val="1"/>
                <c:pt idx="0">
                  <c:v>Average of Ransom_Paid_NGN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table'!$D$14:$D$20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table'!$F$14:$F$20</c:f>
              <c:numCache>
                <c:formatCode>[&gt;=1000000]\₦0,,"M";[&gt;=1000]\₦0,"K";\₦0</c:formatCode>
                <c:ptCount val="6"/>
                <c:pt idx="0">
                  <c:v>21673400.472222224</c:v>
                </c:pt>
                <c:pt idx="1">
                  <c:v>18463770.571428571</c:v>
                </c:pt>
                <c:pt idx="2">
                  <c:v>12623663.48</c:v>
                </c:pt>
                <c:pt idx="3">
                  <c:v>9995479.875</c:v>
                </c:pt>
                <c:pt idx="4">
                  <c:v>20760651.869565219</c:v>
                </c:pt>
                <c:pt idx="5">
                  <c:v>12920803.138888888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96-42CD-8A6F-2E1E949257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66817216"/>
        <c:axId val="1466821536"/>
      </c:barChart>
      <c:catAx>
        <c:axId val="146681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B2C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1466821536"/>
        <c:crosses val="autoZero"/>
        <c:auto val="1"/>
        <c:lblAlgn val="ctr"/>
        <c:lblOffset val="100"/>
        <c:noMultiLvlLbl val="0"/>
      </c:catAx>
      <c:valAx>
        <c:axId val="1466821536"/>
        <c:scaling>
          <c:orientation val="minMax"/>
        </c:scaling>
        <c:delete val="1"/>
        <c:axPos val="l"/>
        <c:numFmt formatCode="[&gt;=1000000]\₦0,,&quot;M&quot;;[&gt;=1000]\₦0,&quot;K&quot;;\₦0" sourceLinked="1"/>
        <c:majorTickMark val="none"/>
        <c:minorTickMark val="none"/>
        <c:tickLblPos val="nextTo"/>
        <c:crossAx val="146681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[nigeria_kidnapping_dataset grp 2.xlsx]Pivot table!PivotTable4</c:name>
    <c:fmtId val="4"/>
  </c:pivotSource>
  <c:chart>
    <c:autoTitleDeleted val="1"/>
    <c:pivotFmts>
      <c:pivotFmt>
        <c:idx val="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3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table'!$B$24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DD-4E0E-A18A-01D3939607D4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9DD-4E0E-A18A-01D3939607D4}"/>
              </c:ext>
            </c:extLst>
          </c:dPt>
          <c:cat>
            <c:strRef>
              <c:f>'Pivot table'!$A$25:$A$27</c:f>
              <c:strCache>
                <c:ptCount val="2"/>
                <c:pt idx="0">
                  <c:v>Rural</c:v>
                </c:pt>
                <c:pt idx="1">
                  <c:v>Urban</c:v>
                </c:pt>
              </c:strCache>
            </c:strRef>
          </c:cat>
          <c:val>
            <c:numRef>
              <c:f>'Pivot table'!$B$25:$B$27</c:f>
              <c:numCache>
                <c:formatCode>General</c:formatCode>
                <c:ptCount val="2"/>
                <c:pt idx="0">
                  <c:v>118</c:v>
                </c:pt>
                <c:pt idx="1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DD-4E0E-A18A-01D393960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6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260072420676249"/>
          <c:y val="0.31349498289034683"/>
          <c:w val="0.18906597402400641"/>
          <c:h val="0.56931743926777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rgbClr val="1B7339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[nigeria_kidnapping_dataset grp 2.xlsx]Pivot table!PivotTable19</c:name>
    <c:fmtId val="10"/>
  </c:pivotSource>
  <c:chart>
    <c:autoTitleDeleted val="1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table'!$A$53:$A$60</c:f>
              <c:strCache>
                <c:ptCount val="7"/>
                <c:pt idx="0">
                  <c:v>Market</c:v>
                </c:pt>
                <c:pt idx="1">
                  <c:v>School</c:v>
                </c:pt>
                <c:pt idx="2">
                  <c:v>Road</c:v>
                </c:pt>
                <c:pt idx="3">
                  <c:v>Farm</c:v>
                </c:pt>
                <c:pt idx="4">
                  <c:v>Waterway</c:v>
                </c:pt>
                <c:pt idx="5">
                  <c:v>Residential</c:v>
                </c:pt>
                <c:pt idx="6">
                  <c:v>Village</c:v>
                </c:pt>
              </c:strCache>
            </c:strRef>
          </c:cat>
          <c:val>
            <c:numRef>
              <c:f>'Pivot table'!$B$53:$B$60</c:f>
              <c:numCache>
                <c:formatCode>General</c:formatCode>
                <c:ptCount val="7"/>
                <c:pt idx="0">
                  <c:v>34</c:v>
                </c:pt>
                <c:pt idx="1">
                  <c:v>33</c:v>
                </c:pt>
                <c:pt idx="2">
                  <c:v>33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A-4E65-B4F4-81174735B9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11463040"/>
        <c:axId val="2011466400"/>
      </c:barChart>
      <c:catAx>
        <c:axId val="2011463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008B2C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2011466400"/>
        <c:crosses val="autoZero"/>
        <c:auto val="1"/>
        <c:lblAlgn val="ctr"/>
        <c:lblOffset val="100"/>
        <c:noMultiLvlLbl val="0"/>
      </c:catAx>
      <c:valAx>
        <c:axId val="20114664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11463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[nigeria_kidnapping_dataset grp 2.xlsx]Pivot table!PivotTable7</c:name>
    <c:fmtId val="7"/>
  </c:pivotSource>
  <c:chart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53975" cap="rnd">
            <a:solidFill>
              <a:srgbClr val="1B7339"/>
            </a:solidFill>
            <a:round/>
          </a:ln>
          <a:effectLst/>
        </c:spPr>
        <c:marker>
          <c:symbol val="circle"/>
          <c:size val="5"/>
          <c:spPr>
            <a:solidFill>
              <a:srgbClr val="92D050"/>
            </a:solidFill>
            <a:ln w="63500">
              <a:solidFill>
                <a:srgbClr val="92D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50800" cap="rnd">
            <a:solidFill>
              <a:schemeClr val="accent3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50000"/>
              </a:schemeClr>
            </a:solidFill>
            <a:ln w="63500">
              <a:solidFill>
                <a:schemeClr val="accent3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8189945478340228E-2"/>
          <c:y val="0.14624989923727416"/>
          <c:w val="0.85557157248758375"/>
          <c:h val="0.68797974253364214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table'!$E$33:$E$34</c:f>
              <c:strCache>
                <c:ptCount val="1"/>
                <c:pt idx="0">
                  <c:v>2023</c:v>
                </c:pt>
              </c:strCache>
            </c:strRef>
          </c:tx>
          <c:spPr>
            <a:ln w="53975" cap="rnd">
              <a:solidFill>
                <a:srgbClr val="1B7339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63500">
                <a:solidFill>
                  <a:srgbClr val="92D050"/>
                </a:solidFill>
              </a:ln>
              <a:effectLst/>
            </c:spPr>
          </c:marker>
          <c:cat>
            <c:strRef>
              <c:f>'Pivot table'!$D$35:$D$47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table'!$E$35:$E$47</c:f>
              <c:numCache>
                <c:formatCode>General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18</c:v>
                </c:pt>
                <c:pt idx="3">
                  <c:v>7</c:v>
                </c:pt>
                <c:pt idx="4">
                  <c:v>14</c:v>
                </c:pt>
                <c:pt idx="5">
                  <c:v>6</c:v>
                </c:pt>
                <c:pt idx="6">
                  <c:v>10</c:v>
                </c:pt>
                <c:pt idx="7">
                  <c:v>14</c:v>
                </c:pt>
                <c:pt idx="8">
                  <c:v>16</c:v>
                </c:pt>
                <c:pt idx="9">
                  <c:v>13</c:v>
                </c:pt>
                <c:pt idx="10">
                  <c:v>11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94B-41D6-81A2-D463D97EF376}"/>
            </c:ext>
          </c:extLst>
        </c:ser>
        <c:ser>
          <c:idx val="1"/>
          <c:order val="1"/>
          <c:tx>
            <c:strRef>
              <c:f>'Pivot table'!$F$33:$F$34</c:f>
              <c:strCache>
                <c:ptCount val="1"/>
                <c:pt idx="0">
                  <c:v>2024</c:v>
                </c:pt>
              </c:strCache>
            </c:strRef>
          </c:tx>
          <c:spPr>
            <a:ln w="50800" cap="rnd">
              <a:solidFill>
                <a:schemeClr val="accent3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63500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'Pivot table'!$D$35:$D$47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table'!$F$35:$F$47</c:f>
              <c:numCache>
                <c:formatCode>General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94B-41D6-81A2-D463D97EF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29431920"/>
        <c:axId val="1829416560"/>
      </c:lineChart>
      <c:catAx>
        <c:axId val="182943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008B2C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en-US"/>
          </a:p>
        </c:txPr>
        <c:crossAx val="1829416560"/>
        <c:crosses val="autoZero"/>
        <c:auto val="1"/>
        <c:lblAlgn val="ctr"/>
        <c:lblOffset val="100"/>
        <c:noMultiLvlLbl val="0"/>
      </c:catAx>
      <c:valAx>
        <c:axId val="1829416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294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6323004337519993"/>
          <c:y val="0.23185958876196786"/>
          <c:w val="0.10814647669224965"/>
          <c:h val="0.527470957202735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rgbClr val="008B2C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[nigeria_kidnapping_dataset grp 2.xlsx]Pivot table!PivotTable2</c:name>
    <c:fmtId val="6"/>
  </c:pivotSource>
  <c:chart>
    <c:autoTitleDeleted val="1"/>
    <c:pivotFmts>
      <c:pivotFmt>
        <c:idx val="0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3">
                  <a:tint val="50000"/>
                  <a:shade val="51000"/>
                  <a:satMod val="130000"/>
                </a:schemeClr>
              </a:gs>
              <a:gs pos="80000">
                <a:schemeClr val="accent3">
                  <a:tint val="50000"/>
                  <a:shade val="93000"/>
                  <a:satMod val="130000"/>
                </a:schemeClr>
              </a:gs>
              <a:gs pos="100000">
                <a:schemeClr val="accent3">
                  <a:tint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7222222222222211"/>
              <c:y val="-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3">
                  <a:tint val="70000"/>
                  <a:shade val="51000"/>
                  <a:satMod val="130000"/>
                </a:schemeClr>
              </a:gs>
              <a:gs pos="80000">
                <a:schemeClr val="accent3">
                  <a:tint val="70000"/>
                  <a:shade val="93000"/>
                  <a:satMod val="130000"/>
                </a:schemeClr>
              </a:gs>
              <a:gs pos="100000">
                <a:schemeClr val="accent3">
                  <a:tint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0277777777777777"/>
              <c:y val="-7.40740740740740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3">
                  <a:shade val="50000"/>
                  <a:shade val="51000"/>
                  <a:satMod val="130000"/>
                </a:schemeClr>
              </a:gs>
              <a:gs pos="80000">
                <a:schemeClr val="accent3">
                  <a:shade val="50000"/>
                  <a:shade val="93000"/>
                  <a:satMod val="130000"/>
                </a:schemeClr>
              </a:gs>
              <a:gs pos="100000">
                <a:schemeClr val="accent3">
                  <a:shade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5277777777777779"/>
              <c:y val="-8.33333333333333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3">
                  <a:shade val="70000"/>
                  <a:shade val="51000"/>
                  <a:satMod val="130000"/>
                </a:schemeClr>
              </a:gs>
              <a:gs pos="80000">
                <a:schemeClr val="accent3">
                  <a:shade val="70000"/>
                  <a:shade val="93000"/>
                  <a:satMod val="130000"/>
                </a:schemeClr>
              </a:gs>
              <a:gs pos="100000">
                <a:schemeClr val="accent3">
                  <a:shade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1944444444444445"/>
              <c:y val="-2.777777777777777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rotWithShape="1">
            <a:gsLst>
              <a:gs pos="0">
                <a:schemeClr val="accent3">
                  <a:shade val="90000"/>
                  <a:shade val="51000"/>
                  <a:satMod val="130000"/>
                </a:schemeClr>
              </a:gs>
              <a:gs pos="80000">
                <a:schemeClr val="accent3">
                  <a:shade val="90000"/>
                  <a:shade val="93000"/>
                  <a:satMod val="130000"/>
                </a:schemeClr>
              </a:gs>
              <a:gs pos="100000">
                <a:schemeClr val="accent3">
                  <a:shade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0000000000000002"/>
              <c:y val="0.148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gradFill rotWithShape="1">
            <a:gsLst>
              <a:gs pos="0">
                <a:schemeClr val="accent3">
                  <a:tint val="90000"/>
                  <a:shade val="51000"/>
                  <a:satMod val="130000"/>
                </a:schemeClr>
              </a:gs>
              <a:gs pos="80000">
                <a:schemeClr val="accent3">
                  <a:tint val="90000"/>
                  <a:shade val="93000"/>
                  <a:satMod val="130000"/>
                </a:schemeClr>
              </a:gs>
              <a:gs pos="100000">
                <a:schemeClr val="accent3">
                  <a:tint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2138888888888888"/>
              <c:y val="5.092592592592575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gradFill rotWithShape="1">
            <a:gsLst>
              <a:gs pos="0">
                <a:schemeClr val="accent3">
                  <a:tint val="50000"/>
                  <a:shade val="51000"/>
                  <a:satMod val="130000"/>
                </a:schemeClr>
              </a:gs>
              <a:gs pos="80000">
                <a:schemeClr val="accent3">
                  <a:tint val="50000"/>
                  <a:shade val="93000"/>
                  <a:satMod val="130000"/>
                </a:schemeClr>
              </a:gs>
              <a:gs pos="100000">
                <a:schemeClr val="accent3">
                  <a:tint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7222222222222211"/>
              <c:y val="-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gradFill rotWithShape="1">
            <a:gsLst>
              <a:gs pos="0">
                <a:schemeClr val="accent3">
                  <a:tint val="70000"/>
                  <a:shade val="51000"/>
                  <a:satMod val="130000"/>
                </a:schemeClr>
              </a:gs>
              <a:gs pos="80000">
                <a:schemeClr val="accent3">
                  <a:tint val="70000"/>
                  <a:shade val="93000"/>
                  <a:satMod val="130000"/>
                </a:schemeClr>
              </a:gs>
              <a:gs pos="100000">
                <a:schemeClr val="accent3">
                  <a:tint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0277777777777777"/>
              <c:y val="-7.40740740740740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gradFill rotWithShape="1">
            <a:gsLst>
              <a:gs pos="0">
                <a:schemeClr val="accent3">
                  <a:tint val="90000"/>
                  <a:shade val="51000"/>
                  <a:satMod val="130000"/>
                </a:schemeClr>
              </a:gs>
              <a:gs pos="80000">
                <a:schemeClr val="accent3">
                  <a:tint val="90000"/>
                  <a:shade val="93000"/>
                  <a:satMod val="130000"/>
                </a:schemeClr>
              </a:gs>
              <a:gs pos="100000">
                <a:schemeClr val="accent3">
                  <a:tint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2138888888888888"/>
              <c:y val="5.092592592592575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gradFill rotWithShape="1">
            <a:gsLst>
              <a:gs pos="0">
                <a:schemeClr val="accent3">
                  <a:shade val="90000"/>
                  <a:shade val="51000"/>
                  <a:satMod val="130000"/>
                </a:schemeClr>
              </a:gs>
              <a:gs pos="80000">
                <a:schemeClr val="accent3">
                  <a:shade val="90000"/>
                  <a:shade val="93000"/>
                  <a:satMod val="130000"/>
                </a:schemeClr>
              </a:gs>
              <a:gs pos="100000">
                <a:schemeClr val="accent3">
                  <a:shade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0000000000000002"/>
              <c:y val="0.148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gradFill rotWithShape="1">
            <a:gsLst>
              <a:gs pos="0">
                <a:schemeClr val="accent3">
                  <a:shade val="70000"/>
                  <a:shade val="51000"/>
                  <a:satMod val="130000"/>
                </a:schemeClr>
              </a:gs>
              <a:gs pos="80000">
                <a:schemeClr val="accent3">
                  <a:shade val="70000"/>
                  <a:shade val="93000"/>
                  <a:satMod val="130000"/>
                </a:schemeClr>
              </a:gs>
              <a:gs pos="100000">
                <a:schemeClr val="accent3">
                  <a:shade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1944444444444445"/>
              <c:y val="-2.777777777777777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gradFill rotWithShape="1">
            <a:gsLst>
              <a:gs pos="0">
                <a:schemeClr val="accent3">
                  <a:shade val="50000"/>
                  <a:shade val="51000"/>
                  <a:satMod val="130000"/>
                </a:schemeClr>
              </a:gs>
              <a:gs pos="80000">
                <a:schemeClr val="accent3">
                  <a:shade val="50000"/>
                  <a:shade val="93000"/>
                  <a:satMod val="130000"/>
                </a:schemeClr>
              </a:gs>
              <a:gs pos="100000">
                <a:schemeClr val="accent3">
                  <a:shade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5277777777777779"/>
              <c:y val="-8.33333333333333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gradFill rotWithShape="1">
            <a:gsLst>
              <a:gs pos="0">
                <a:schemeClr val="accent3">
                  <a:tint val="50000"/>
                  <a:shade val="51000"/>
                  <a:satMod val="130000"/>
                </a:schemeClr>
              </a:gs>
              <a:gs pos="80000">
                <a:schemeClr val="accent3">
                  <a:tint val="50000"/>
                  <a:shade val="93000"/>
                  <a:satMod val="130000"/>
                </a:schemeClr>
              </a:gs>
              <a:gs pos="100000">
                <a:schemeClr val="accent3">
                  <a:tint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7222222222222211"/>
              <c:y val="-8.7962962962962965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gradFill rotWithShape="1">
            <a:gsLst>
              <a:gs pos="0">
                <a:schemeClr val="accent3">
                  <a:tint val="70000"/>
                  <a:shade val="51000"/>
                  <a:satMod val="130000"/>
                </a:schemeClr>
              </a:gs>
              <a:gs pos="80000">
                <a:schemeClr val="accent3">
                  <a:tint val="70000"/>
                  <a:shade val="93000"/>
                  <a:satMod val="130000"/>
                </a:schemeClr>
              </a:gs>
              <a:gs pos="100000">
                <a:schemeClr val="accent3">
                  <a:tint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10277777777777777"/>
              <c:y val="-7.407407407407407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gradFill rotWithShape="1">
            <a:gsLst>
              <a:gs pos="0">
                <a:schemeClr val="accent3">
                  <a:tint val="90000"/>
                  <a:shade val="51000"/>
                  <a:satMod val="130000"/>
                </a:schemeClr>
              </a:gs>
              <a:gs pos="80000">
                <a:schemeClr val="accent3">
                  <a:tint val="90000"/>
                  <a:shade val="93000"/>
                  <a:satMod val="130000"/>
                </a:schemeClr>
              </a:gs>
              <a:gs pos="100000">
                <a:schemeClr val="accent3">
                  <a:tint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0.2138888888888888"/>
              <c:y val="5.0925925925925757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gradFill rotWithShape="1">
            <a:gsLst>
              <a:gs pos="0">
                <a:schemeClr val="accent3">
                  <a:shade val="90000"/>
                  <a:shade val="51000"/>
                  <a:satMod val="130000"/>
                </a:schemeClr>
              </a:gs>
              <a:gs pos="80000">
                <a:schemeClr val="accent3">
                  <a:shade val="90000"/>
                  <a:shade val="93000"/>
                  <a:satMod val="130000"/>
                </a:schemeClr>
              </a:gs>
              <a:gs pos="100000">
                <a:schemeClr val="accent3">
                  <a:shade val="9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0000000000000002"/>
              <c:y val="0.14814814814814814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gradFill rotWithShape="1">
            <a:gsLst>
              <a:gs pos="0">
                <a:schemeClr val="accent3">
                  <a:shade val="70000"/>
                  <a:shade val="51000"/>
                  <a:satMod val="130000"/>
                </a:schemeClr>
              </a:gs>
              <a:gs pos="80000">
                <a:schemeClr val="accent3">
                  <a:shade val="70000"/>
                  <a:shade val="93000"/>
                  <a:satMod val="130000"/>
                </a:schemeClr>
              </a:gs>
              <a:gs pos="100000">
                <a:schemeClr val="accent3">
                  <a:shade val="7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1944444444444445"/>
              <c:y val="-2.7777777777777776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gradFill rotWithShape="1">
            <a:gsLst>
              <a:gs pos="0">
                <a:schemeClr val="accent3">
                  <a:shade val="50000"/>
                  <a:shade val="51000"/>
                  <a:satMod val="130000"/>
                </a:schemeClr>
              </a:gs>
              <a:gs pos="80000">
                <a:schemeClr val="accent3">
                  <a:shade val="50000"/>
                  <a:shade val="93000"/>
                  <a:satMod val="130000"/>
                </a:schemeClr>
              </a:gs>
              <a:gs pos="100000">
                <a:schemeClr val="accent3">
                  <a:shade val="50000"/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dLbl>
          <c:idx val="0"/>
          <c:layout>
            <c:manualLayout>
              <c:x val="-0.15277777777777779"/>
              <c:y val="-8.3333333333333356E-2"/>
            </c:manualLayout>
          </c:layout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008B2C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'Pivot table'!$E$3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3">
                      <a:tint val="50000"/>
                      <a:shade val="51000"/>
                      <a:satMod val="130000"/>
                    </a:schemeClr>
                  </a:gs>
                  <a:gs pos="80000">
                    <a:schemeClr val="accent3">
                      <a:tint val="50000"/>
                      <a:shade val="93000"/>
                      <a:satMod val="130000"/>
                    </a:schemeClr>
                  </a:gs>
                  <a:gs pos="100000">
                    <a:schemeClr val="accent3">
                      <a:tint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038-4BD6-8FCB-3F4266EC0E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tint val="70000"/>
                      <a:shade val="51000"/>
                      <a:satMod val="130000"/>
                    </a:schemeClr>
                  </a:gs>
                  <a:gs pos="80000">
                    <a:schemeClr val="accent3">
                      <a:tint val="70000"/>
                      <a:shade val="93000"/>
                      <a:satMod val="130000"/>
                    </a:schemeClr>
                  </a:gs>
                  <a:gs pos="100000">
                    <a:schemeClr val="accent3">
                      <a:tint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038-4BD6-8FCB-3F4266EC0E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tint val="90000"/>
                      <a:shade val="51000"/>
                      <a:satMod val="130000"/>
                    </a:schemeClr>
                  </a:gs>
                  <a:gs pos="80000">
                    <a:schemeClr val="accent3">
                      <a:tint val="90000"/>
                      <a:shade val="93000"/>
                      <a:satMod val="130000"/>
                    </a:schemeClr>
                  </a:gs>
                  <a:gs pos="100000">
                    <a:schemeClr val="accent3">
                      <a:tint val="9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038-4BD6-8FCB-3F4266EC0E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3">
                      <a:shade val="90000"/>
                      <a:shade val="51000"/>
                      <a:satMod val="130000"/>
                    </a:schemeClr>
                  </a:gs>
                  <a:gs pos="80000">
                    <a:schemeClr val="accent3">
                      <a:shade val="90000"/>
                      <a:shade val="93000"/>
                      <a:satMod val="130000"/>
                    </a:schemeClr>
                  </a:gs>
                  <a:gs pos="100000">
                    <a:schemeClr val="accent3">
                      <a:shade val="9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038-4BD6-8FCB-3F4266EC0E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shade val="70000"/>
                      <a:shade val="51000"/>
                      <a:satMod val="130000"/>
                    </a:schemeClr>
                  </a:gs>
                  <a:gs pos="80000">
                    <a:schemeClr val="accent3">
                      <a:shade val="70000"/>
                      <a:shade val="93000"/>
                      <a:satMod val="130000"/>
                    </a:schemeClr>
                  </a:gs>
                  <a:gs pos="100000">
                    <a:schemeClr val="accent3">
                      <a:shade val="7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038-4BD6-8FCB-3F4266EC0EE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3">
                      <a:shade val="50000"/>
                      <a:shade val="51000"/>
                      <a:satMod val="130000"/>
                    </a:schemeClr>
                  </a:gs>
                  <a:gs pos="80000">
                    <a:schemeClr val="accent3">
                      <a:shade val="50000"/>
                      <a:shade val="93000"/>
                      <a:satMod val="130000"/>
                    </a:schemeClr>
                  </a:gs>
                  <a:gs pos="100000">
                    <a:schemeClr val="accent3">
                      <a:shade val="5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038-4BD6-8FCB-3F4266EC0EE8}"/>
              </c:ext>
            </c:extLst>
          </c:dPt>
          <c:dLbls>
            <c:dLbl>
              <c:idx val="0"/>
              <c:layout>
                <c:manualLayout>
                  <c:x val="0.17222222222222211"/>
                  <c:y val="-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38-4BD6-8FCB-3F4266EC0EE8}"/>
                </c:ext>
              </c:extLst>
            </c:dLbl>
            <c:dLbl>
              <c:idx val="1"/>
              <c:layout>
                <c:manualLayout>
                  <c:x val="0.10277777777777777"/>
                  <c:y val="-7.40740740740740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38-4BD6-8FCB-3F4266EC0EE8}"/>
                </c:ext>
              </c:extLst>
            </c:dLbl>
            <c:dLbl>
              <c:idx val="2"/>
              <c:layout>
                <c:manualLayout>
                  <c:x val="0.2138888888888888"/>
                  <c:y val="5.092592592592575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038-4BD6-8FCB-3F4266EC0EE8}"/>
                </c:ext>
              </c:extLst>
            </c:dLbl>
            <c:dLbl>
              <c:idx val="3"/>
              <c:layout>
                <c:manualLayout>
                  <c:x val="-0.10000000000000002"/>
                  <c:y val="0.1481481481481481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38-4BD6-8FCB-3F4266EC0EE8}"/>
                </c:ext>
              </c:extLst>
            </c:dLbl>
            <c:dLbl>
              <c:idx val="4"/>
              <c:layout>
                <c:manualLayout>
                  <c:x val="-0.11944444444444445"/>
                  <c:y val="-2.777777777777777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38-4BD6-8FCB-3F4266EC0EE8}"/>
                </c:ext>
              </c:extLst>
            </c:dLbl>
            <c:dLbl>
              <c:idx val="5"/>
              <c:layout>
                <c:manualLayout>
                  <c:x val="-0.15277777777777779"/>
                  <c:y val="-8.33333333333333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038-4BD6-8FCB-3F4266EC0EE8}"/>
                </c:ext>
              </c:extLst>
            </c:dLbl>
            <c:spPr>
              <a:noFill/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8B2C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table'!$D$4:$D$10</c:f>
              <c:strCache>
                <c:ptCount val="6"/>
                <c:pt idx="0">
                  <c:v>North Central</c:v>
                </c:pt>
                <c:pt idx="1">
                  <c:v>North East</c:v>
                </c:pt>
                <c:pt idx="2">
                  <c:v>North West</c:v>
                </c:pt>
                <c:pt idx="3">
                  <c:v>South East</c:v>
                </c:pt>
                <c:pt idx="4">
                  <c:v>South South</c:v>
                </c:pt>
                <c:pt idx="5">
                  <c:v>South West</c:v>
                </c:pt>
              </c:strCache>
            </c:strRef>
          </c:cat>
          <c:val>
            <c:numRef>
              <c:f>'Pivot table'!$E$4:$E$10</c:f>
              <c:numCache>
                <c:formatCode>General</c:formatCode>
                <c:ptCount val="6"/>
                <c:pt idx="0">
                  <c:v>36</c:v>
                </c:pt>
                <c:pt idx="1">
                  <c:v>14</c:v>
                </c:pt>
                <c:pt idx="2">
                  <c:v>75</c:v>
                </c:pt>
                <c:pt idx="3">
                  <c:v>16</c:v>
                </c:pt>
                <c:pt idx="4">
                  <c:v>23</c:v>
                </c:pt>
                <c:pt idx="5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38-4BD6-8FCB-3F4266EC0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86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679089776389443"/>
          <c:y val="5.9884806065908409E-2"/>
          <c:w val="0.18235194427158113"/>
          <c:h val="0.88023038786818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rgbClr val="008B2C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series layoutId="regionMap" uniqueId="{2BEE109D-56EF-4633-9808-6CDA383D32A8}">
          <cx:dataLabels>
            <cx:visibility seriesName="0" categoryName="0" value="1"/>
          </cx:dataLabels>
          <cx:dataId val="0"/>
          <cx:layoutPr>
            <cx:geography cultureLanguage="en-US" cultureRegion="TH" attribution="Powered by Bing">
              <cx:geoCache provider="{E9337A44-BEBE-4D9F-B70C-5C5E7DAFC167}">
                <cx:binary>3Htpb+W2kvZfCfL5lcNd1MVkgKF0Fu/dbveWL4Lb7ZCUKFESqfXXTzndndi+N3eQIAO8GQdw2ubh
ORSLVfUs9H/cL/+4dw93w3dL49rwj/vlx+9NjN0/fvgh3JuH5i6cNPZ+8MH/HE/uffOD//lne//w
w+fhbrat/oEgzH64N3dDfFi+/8//gHfTD/7C399F69vX48Ow3jyE0cXwb8b+5dB3d58b2xY2xMHe
R/zj98WDi3fff/fQRhvX27V7+PH7Zy/5/rsfXr7RP33odw7WFcfPMJefcJJSJFCaffmS33/nfKu/
DosTnEqGBbzkyxf79tFXdw1M/2U1372Jd/Hh28C/WtMvK7r7/Hl4CAGe6Jf/v5j87CFejN37sY2P
W6hhN3/8/srqh8HCJtjg8y9DuX98mKvDL0//w/Pt/8//ePEL2I8Xv3kSoZeb9z8N/VOA/uvTWP2P
Afrf/Pz2rvk0/I8reL5H/+6IiBOCJcVUyK9HRLw4IhmnGA7J7xyR//qynj97SF5Mf3FMXoz+rQ7K
+V3r/13S/LFExvhEZkzSjGTPwiNPOBUQHPwtevTbZ37J4MdV/NnYPJ37IjBPh/5WUVEP7fhva9kf
C0t6QjniKWPftv958siTNE2JTBmU3S8l/UtUflnFnw3Ls8kv4vJs7O8VGD/8pflCTrBMOc3ws3TB
9IQiiRBl5Gu1exGYx1X86cA8nfwyME/H/laBOb/7PLZ/Yb/B6IRKwinB5Flo0hPJKSWEo6+RgUL3
NGe+rOPPxub57BfBeT74N4tODPYvDQ854QJyhKRfIeHzBEpPBEHpE0CZvozSL+v582F6Nv2f4vRs
9G8VqIs77cO3vfpXIPqPNR4BwF5kiGL2W7Y8Afb0hKcpQ4h9G37RgH5ZzZ8N0rPJL0L0bOxvFaBr
PbZ/ZXyyVEqeZt+AwXPiRU8YlYDlKPmaZVALnxa7x8X82fA8nfsiOk+H/l7BWf9CLC2B8XAMjeZl
TLhgRGYSKt6zWKx/GhFc/zb1ZSR+G/lbBeLGTg/DX1jH2Mmj/oAIYLIvX6BAPKlj4kQKxJBMv42/
yJMvy/mzmfJ89osIPR/8WwXpp7vm57u/UiPA5ASBhIQQeRkehjPMKP7WhF6gga8L+bPxeTH9RYBe
jP5/HaHfW9yXOvMFDjx7zR/U+bITAelDufiG2vizNEpPHgOUAiP6LcuelrhfJbffX8+/1vh+nfhs
8f/rGt7v62u/Kl3FXbzb/aKiPpH4/v3oN23wxdSvzeBfYrYv+3X6+cfvscCCEEiFJ5F7fKNnreSX
7XqeDS/mPtyF+OP3ICukUjCIGNRGKaWAvJofHkcegZ0AMVcKkOVSyikEuvVDNLACDLPg1ZkQVGQC
Otn33wU/Pg5JIMMU4cf/QCmiPGO/qtivvFu1b3/dma8/f9eOzStv2xh+/J4heKjuy+selwtqMQXZ
I0VcAEtIEROgenT3dzcglcPL8f+b1g7RhOndwpHZ1XFBl0s5VnXOp2R6reVYHdPV889skPMprRN+
1JsbD3ool6s2ZvS2ot6e65BNr5pEBL+rWN0rthKSjy6ZXk0jFQexCXLG13kalUvYKtfLbBJ19fOK
Svsq6XuLTN4P7ShJXm89j2qLTFdnXSq7i8GWrFahJevHNpJ+PkrcBapClbl0L6uUV7m0Al+WzcCS
3VAzjC8c4eO1JPDQisdtfts0Y7mXkpQ7wUMosq6vPy5UJoVFoRtf2dWt99vAFqxYlphrP6TNWyzr
yuasitSoASWLVAi29X1fY7afzdjFAmm5sHydWLWTg/N1Pgtn7ohjZirsspb7kmVL4ZM6voqTS4ci
GT1TTWrtq4nMNk9L0uHctHY5as7YTZNtOqi6ll1TSGlcpzCryK2sShqPScbN6caXsO7jkJImJ7iu
NzU343xIqNBajWtWP0CQxUWdirVRqU7K08nXessxp/I1a1hrlSYTPyRrl9mdJjayIs6reL2tIWnV
MAfdKU4rfrGOlfeqT7V8mFrvP1XBmrswZutlPzOK8mrSmB8WLcLVRiYWFZlQY4tB+NnkGUmoU7qr
w8+9MV2rliDZDeokfb/5SN6VPnO+kDSKD8Lj0KmpaebDUHOf7UdrGcrTzVdtzrNxa5Qjq7lrYbFH
LO3wLmEovdRmIbpwBDydXDRd0pyOS5lT2rn5UFU82RRJycKKqkthX9dkvRC1aOJFstQr3fFyWdye
zaQLqi1n8ZpBBrlcMNGIfFxQ44+xcWTO6SDNlossknWXpEG2eRWS8NOc2HnZpXPnx4IEUa0X1bqQ
wyqq+tLxGg2HmGW1yUeMIA5zX3p8G7CBByVlNe7aKY17ZpC7S3pELpGD3zVjELMqESv3w9yLC7QE
iKPdvD6Uk+1PqWnIO9Z78rZkvLmuCIRjnMdBXs1zM7zZ+r6mcFy0FirLmkwr37WJKRAyAd6hqZvT
uYpcnJlxXesi8Wi1qooL7VQ6IenzNfbrfMCwPwdJWIiF2Gh8T6xIkEJDVaY57id9plc4o6qsmwXe
1Kf7Tpft/ZB1zb1D/XbfjmFeC5tJfWq936wy9RavguH0rdQOEk2ndW4HTq6gApujbqK4zHhjY+5w
aSHLcRMG5bZAbZGSSpaFmMbW5nrb2p8TkUC69XQry8Nik01fpqPp9at2RotTTQzTu6zu6Jno+HxN
pmVyKqSVHfKY9WLXeDeZPVQLfmu7ub1fmMFdLtNqHY41zGiUTg2bC2x7Xyk8D/TD5DLC1Ow53YrW
dfisamtaqeBLXee+Jlwe5SbD694tLJ7XLqy98iyukF8E0+qaym7NVOIiKTDUHp470sQtrxMmWlXR
Db/qkjrN8rLux6CacmxaqIKyQ5eSN4Krcda4UcRzdDbhETUq2+K4KTHS5j7tJjEVwc86QuZzEHl2
mk7LsOtYjZK8bHSLdn6FMuhJm4459yzZd6TFb7LO2zfEmSxTrpkefLdaqzbvwy2JTf+ayL7BqpMp
sXnfB6fP4PDXY76iyYZcDFUfr6sNIXfu/Bz3sbT8iMnavpdLmf6UNTXJ9kNtM5e7x0/K8dhdz0DW
6rxBXB/XcaDLvil5darnSVuVzWY+nRYu+r3YSlRE31dX0lbDJ9i+4dxsrvrQ0NFeyQRKzg52utpv
eKh3VQ3/qjGaLuQ0o1OEAv2Ip1DtyTYvr8UYEFWSOXuVCBLf+G3zBfWDd6ptUbVfTRUPE5u7m9Fs
8z560iOVDohfiLh1CdR6Mn/ii9vOQ43IDpeBXzT16ovESfHB1WlzNRuZvUPd2Gf7ElB1e0F4Mto3
7Vb75cZkE93OcImoPoX6A8UqGYfpPpkph2PZbou/EEk5fdKwz1eQ591NlCPvcpOS7IOnlUew43P5
eFrI7A54Gqf9KCUbVdpFdLa2k0lzR2sSrpwYGn4qoDU3cBJEj3aZKOn5yNqwqMrqJZeCjvEQMFrA
bC6jzRGjpVYTWjXeZ1O3IpUFWr5GSdOthShlc4HTED/WcyuXwprUvZXMdPSYNM6/r6qpcvnMFn8T
DV1+3izHeqfltp0TUoao5q50SV4Zbdcc/tl5JSwp0z3TK27Oa+ET+qHHwl8OkBtdnlaTrPKyrNeb
evIpzoXDAEISUw7HCiBEstdsHA+VRMennvIzMHQPx3iw2nx19X/98T+vu4f2TRweHuLlXfeL1/zb
2PMfAVV9haqPUPDZD/+ETX8HfX65WPA7g38ImhJAab9eHvgnaPrG1z6+EDqeYNPHyV+wKVByuA6B
MxC3QOFCkgPM/IJN2QlmgAqAh4iMCJAnn2BTegJqmAA7JkNw20ASkF6+YlOArTCHokykKSYMEfpH
sCl5XNhzbJqlKc9QCkIOJ1Rw9BybpgnvMqPJLkvQzHdsrtsjnOeLri2X9x4awbkVvb9rZ5PcJ8K2
F/C066cZo+xqFFjmg+GZSmdXh6J0Nb4dApZnpTX9UZiG//xYbybFeI+vU4fHnKaxPBNDyc+1n9bT
2Qu+X5Np/ZiM1OxcRclPvW99Qcrpyk/E5Yn0U1k0I/TSNRXyvOL9+nkUKOjcb7W+sZD98kz70uiC
96F8NRCvXyODrN/N2Dim0mWZqzxFizyfm5DNReBdAkXck1LnERCT32eJrq0qezGcTaMfGPQmiUe1
bQuWF9m8le1HKlpc5X2D+kRVGarfjzj108HGTbhc0wa9KslcLrlv2qXN0YAtIN9SxHfB43E4W/VS
hSIdNwmYYKinW1kzkakBu/TNUAEvU9qV1VuXArLdy+DSz0m5xQwKacDjPiEbeb322s55raEn7qig
i9m3ybIOSvZyvY209LcV9DFxPpRjyvOZNC1SVVXO9kozaIGqSm35ADU73jI57RNbL0rOrrpxiSXu
02rSpimmdEO301q212mysZj7LsZbs+hWK5riZufreXnVl008q5fFdqptMrruBmh8h7Zm28Uyh+xy
SsSy21g/5TGpw7XHWxl3hmTCqjox44PIbKCXJRran6dxCVDHkyzLl8SW9WHK3MSk8r3L+nY/cD6h
h76GwKhEgjh8YGnZbXuZClb53YD7arnatm5NL0ITcLVf7GK6C0q6qskbXnfbLvAghn2kjRwue1oN
GzwDzlJV2mZdlK6rTBcttl2vInYb1rkxsfbnTSnHZS6yzWY7Mrd+LcyylOHUDyMPp9NM2bjrVk62
txLNRLXT1N9yr3t82toGvQ/pTP2d9V0t8mwyuC9kL/gNIwE/ENNPADmGuF5OPRKKOVQf5yzwVm1J
zWZFnKZcLYImteqTBZGLqgnLcWlie4kHkZ6ubkgPFSCzw+xi/yGkYxrUaEb3IVnL+kOtM8ADc6wB
qzkj9q1LyJjPdSUuQhnNNU86IIn12gebZwDhbVHx0npV405g1ZohwJky9SkdNC1iaZYhlyQAMoFW
InbAM6pVRb2aUHQ68iIzKzsuwadWLSawN2wQ+Iw6Tz+Pw7xdW1ttZJdkfrnv4Cx/HsroKnhoPEjY
NlNawCTEOBVL6vUOQMxacNjdPF2hahYr6hEg87QRp8008rMpxUIr7gU71Ky0H6wf6vUso6Ob8omj
cLMy7xNFZWwzJRuTXM+p83DDASr919bzf7OpgQYisgyK+++3NPXUc/9Nqfl15pd+htkJdB7wYkBk
JpQBrvnWzx47E1g0NAPlkzJGKDStb1oLPUlB9JTQa4TAmD7tZ+gEEYLTTIAeB6Pij7Qzjh/b1ROp
hWRYyBTKH1jmGImMvZBaMLWaZoM4jdGGNgemiD+OwD8bNYR2uPK+AkzX9HZLzmaUxP3oMM19WstB
VYi1U04gjcpctBZYcWayzZ0yuaVLkaRTQvfaGn61kLXPk46+GtncvKMhmSGZSrqnWxdkXuKlu629
C5d4DbpUJib0dWcRT6CfmKy+XgBMvpnmYN2ZG5Jlu9yajowqm5LtHKpbgnO3JqK8X0c37MW4JUfb
d6m/kIlBN7PpqVRSmJGBqLMO7dF0Myoc6AnpqR3ncJgTP+6A6Eq8873piBKlEO/HSJMu11jXN0jW
Lbw029TQJex6KQVwbhEyonec2XiIZOivuJf4kVGpwetxR1h/qIyszlHWF9YmZFcHUaoaMvum3qY0
nzZ2jQCF7gjGer/GDZ/aGdgyjVsRoFLlgJHrnOEYIc+zYmxDUD7KFqp6dzSg3l0kzLuLvkveMuQO
DX/sLRxfhnHEe6eTUyDx5a5CdUFIDVPlao6ShyY3Dc2UBfnttG1Sv5syrgiOLqdTe5rJ5U6OyVkw
c6V6QN1DnN9VcJ/inFi5Q03vd33dXk+kPwdSwxWwn4Px7nRK5FCEsDVFE1hBV9EoW9vlQ5ek67U1
w3TapNK852tty6Kkjv9UGmROsXX157E39lOPY7KP0wpdeNym83EY9E2VcPNaOm51vsFtguRct25Y
L1zHjFaG62RQbQrwKkmbRYGu0DQ561INdXrjVbMf2qzG+7IVw6kjbUzVCCCtzWOfpTehBKygVpe0
B2Ta5qcETeSYTcyD2NSDwDJHfuBxDpWyj6U6qWz8gGxdvyVV7c6rpIM+UM9dvICncq+mpU6w2gZe
daCjrTXoFpLJ/TpmxCiJNKrVUkdIqFpUzeXQWI1Uj9GI1QzoUistvFD9huZW9VK0xVri4YNwhOZy
MMtRuDZ5GMdhvOGjH/NS2+6iK+kCRJKM03FAPuRc87FwJsJOzEA58zEEOIPAH8/bGbc30D/GC9Q1
S6FZVxXI+/pYEu3elEnlbJEkNrmqTRduaesdgEIL7IxrefS6GWjufAkaGkcg6CybPV+WLbyCQ8TP
N1HNyq5roki/JSqEKd2hte53bhFmjzgND3RcN8Xdkn2oGsc+V4yNw2UcSJ2aPQ4sTGpyCzSkWzSL
CVjakqziXGSy30fbB7XRHciD1UEuS30GmqbOh67OPpRsMjl1Ls3htk+VZw1BBckYVQaQz53Nuj31
t7aJ7LzHq9u7mgzXuvHrfumrT0O/vbFzPBuq9UB03FV2LBpgrGgYjpF1al4aoOd12h6bIfDdptMh
3wCeX3UsHS9L6zag2/ENRH67AXBR5z1xw3mdbclunIb0oTUhO+tAKT7ycr1lYmwUNmUPuW/Gz6Jt
51e1GfuzabC7WbZX7Tyy26mazc9IT+vDvLi04Eur85Ahfb6tRr8GpNBBPUjJRdkm6x0B6d6ptS/7
Yz/HCjhA2xVosCTf+paeQvkczrcWEyWhqO0BihurRh/I7bYInicgXx9kic1+HZi4wFbyt3rZusta
rNlu3Wb+viRJv+fsds7OmlG/MnjICsB76S4b3asE9M3r1Gw9vIkxF0RnPYiWaC5qTpvXwk38ao5p
8tqTsTt6CE2u3VQeBUi+19DTLGSOG6e8TilVAMP0+yGTw3HakqlI25W9Zms7782UZtd+Y9uqSoK3
N9WE613fGnegU4aCigSVb20HQvWwrNm+h2N2YHOl9+OmAYY1Ojkjw7Kc0TbWOa51oVufZzE1OzOL
BooeYzk2dXLGZBTXWCT+kLTotY39ogxePo9VrNVs7DHU1QGw63Xl9G2jl0tQR6bzbSTNhbRmO1js
+zwuBiu9BLPvUNaBcCarXcriuE8TtIBa3XW7ahsh0ZPNBpW2YT6SNQODwExr0fNa70ZdvdMlz0B1
COnbdO3OGIckztq1iEk5eDXrx6PIiR6KdhPdfg6hqaHnJgHn7VSl580wiDJfBVrKKzvjJi081+Wg
QPmckgKOGP7E06U5rVpbZ6fWlNy+wz3bDmPpe5lPvZ52fBzpoZ94nVfzEi6YIfIUTet2MfFl9rdL
mthmZ7LBCVDR9aN+GFbQ61DKdXyjDfOfG1zG12Kx7maMOqZFG1Hf5HMFRA0chFjVqh67aT5umwPD
Q1QjvZOVlJdN2zrFIk8fxFRqk28V5MKVrR97S1YLk68k9FueDTScjl1WIsX7rsUATuBvMKBmJOXZ
sISeKUaBmKumMRtXHa55p4DX0I8TZnzYgxTa1Hvi4RwccVnpO58u0yd4qgwXNVRrrzYo9NdTI+X5
QlB2ZBK0fUXtAkwX2/AKD9vnpK7f9EZMXU5XZj6hyYMxNI0dGw5wnuSNQ9ocV1N6aKggoBXrkg7A
nRhq630m4goQu0LdxdJpV/hNsmLuRHpbLqHh5z6m/q5sgFqoJY6PtlTnrhYOvtLGnVYtoW2p0Gxq
INptM+el89WRzGw9Ih2T9wAZa3BkZvNuZml4TzbbvprawZ6balt2ZCuX6zjT+A6tKKqqQ+CypLOI
B9ssYsfXQD9XMdSn4KtBG4bXvEV1PZ4tXQuHk7PtU6aXY4JGtO98jCCj/5+hCPdP/3zk29WdX6Sr
FASo36cHv3rXv1ED/DjjKS3APANlioJyjX61YAnwBXBTswzDve8sg5tET2nB78lc7ARstMfbRcAm
Hn14mPVN1HtG0OAPi77+/NSCBWv5OS8AxQzcZs4EfB5GoMTB8p5asKkLhFVjqdxU2W45rGipnKLE
o+x0c2iVVwC2wLpbJsjTyzGmMRY0uiGcVnqRNTRq0Yp8IWK4TcEtAepbz3q+zjwH+JZw2xNQcMYe
ybMu4rbKFCOEOA8zakShtHSbUSAeJXZfk3R49HtZxfMOVV5cgog8gxStfQKIzaKRqyYmK1ZegFmd
T0uVVlAVsG+VoJgtKoAPGtUYanrJuEl+2hILTkY/zsgpztP1koVM/wTOKq1y2pB1ylvw7+D9GlbO
ChQ+61QtddodWRJNo1g9N1telQS8WDpX2VCsYom9MlU6A14HsADcZgJYtxPIdj5PemiuR9Yy9yFL
a3LFoFjiXdROXw+gWd0ZLPkHr6P83JUkG/IAFgnYVEOYarUCoBcfSgIf+V7jPnJVMYAolytxWXM2
T7WbVAvKXFqA4cLkKXPt6t/QrRKx2LptBuaRblnIU/Cttx0C/cCoio/yHZgrFL/h3ozbJa+G8QIE
ehDWaUwcmKM2jNuZA4wRrkMokTsl1Sij6gSpzwloaVH5MC8fWg2yz77PpJmDmpa2fOdNNYEXDY51
cwylGSjg276iu96G/tOwth6gci/TeyPa0uSIrOzd3PD4EdmY8B12dTyMsu/6HCxaeR9K74eimi3w
tGGr+Zwj3IBf3YIZhZSUegB9kwOfxGJc+X6oRLrmNbPBKbSKKVXgodI0XzAs6wDC1jKpAXytY/RJ
8tlMYJmqZbb2HKwUc5MAA/4ZM/Y2WrCJlQFvguQuyq5TrpL2zTj71sIG1f3eObzQPNmGIVGgxtD3
xC81VjVDzarSlfObkU0VUVM1Ip1bwIrgJzuRJYBn5kBUXJrlw9LCPel86cf2nsQEPEEwn8Fb2wTf
wL4THNaGsW32hHogfq6dtjqnGRoeDGnKe6DoIDpS6OwWbZXbB+2XWY1p305gUJa8hu92/klC5vcK
yjYZDiUqxw4Qe0a9Gpd2u2OgZV9PlI9a9f2wbAq8Dgl3CEBuBjHI9H5ThtjKn5EIvVdZRMA809CR
ZoVK6BGK2A1v4Dzp8r6ZMUsPXQPW3jmXI3j269h04Q2Y5MwUaQnQT02R1K9wxclNuXb1BU62WBZm
qNHnvp/IBmqBWBoVpkp+qLgWr6OIYDylqWvV1OHUnnpHoz81s2uue+eBWYEjXjJIubTqAOBJ/UDC
ikDvGnqJYHDeSB5A7m3gAgHYkvmjx/52NtpkUMrMNr6tvNMfx+oxPpmrLFNrxBIVYp2h9AGSIVg5
sYBBZ6jsoUhh3V9msmreIgKftivBqn23rTM1gBvCIOAcirG+GRY2lAVFiaiLUm76yEDDnA9gafC4
04NY3I5X87DmY++ZLmjiGkgoEG2Rai3YgyoDrxRuXYwgK6kkG2lXsBaD3NxNlUF7uCZjRqV9/fh0
mU3AAGR+6uF5J3sZEhChlMciqxXeZFcWcqCl2K9pMn1MUOo/NqwH+WSeQdVUSU/0XMTF0k25Ua4V
fNdxUSIN4tqFdv4UZBzOuwUu2Cid8TaCdNMtXREEozdwYBe8W8vGZUozZuadXXvhCsszoGQdJFyr
KN0iYBU20hYAqqzmXQqQ2Fz/IgEM9Qj3RTaSgi/RNxOAuXIb9y3poSb3DEIggaU3qtF9aC7LTbT+
HC5BVI3q1wpklqeEX4LInu1E2bQ/WdnDofgnws87YUThIvQ7ONaL/WgtsmMOOheSRQapdsuYiMA6
QVg9KxuCw67WEggmsOYSrv904DADv3bjAOwLTAUVkwaM7gW7pC+c9oDufUWadzaYsi3SiDhWPXxb
c7Sg7h2xPkvyYazh8E0WtSZ3bcM/mmhq/ZVki2ozux53Bm7ZwPX7z0tmUa+g11cf5X+Td25LcuJq
Fn6VeQEcCASCywHyVOdyuaps3xDlQ0lIQiBOAp5+Ful22+49vSc8d3vvu+7oznA6K5H+f61vrYrK
2Dcn6vrIuacyrvFAZ7HoyBc31OZmXFegCtiV2CnqVT0dyipQr3IO9E2Ete8x8Kr1gx6D7rPwcBbm
S9PEX0g/emW2NL7/NDcyXbKw75pXyiNxmFfWXGqyrh8rEozXaUlsk2GshXjUWtk1hbW6AjZhG/J2
U6+e40hyAf2jUSlW6JW9L23oGqBLwfpWAYx4Vd4wXXzbALuKDlDisRXl502PBnW1QE70SZRNXWBF
5lvRTNkgJnKKRobvzOiAymBAdx2G8dFNIR6UKX6nuOerXHUlmzJd0gG7qOTtWNC5g+CCXca/FtqK
z/3sqSSbbRvSPNJ6Se45UAed91Uchjc9ktw893jiFmg1Eh4NmCs1VeGLSv1B4IXrQMZLF/B6vlvX
OpoBzcRuTK54SiZ1FXNvkrhZZizb72JdDapwiaT4Dig2l8dReZ3vspTXPjktXqT9+26xCckZ7XRd
+CxOTaHisL1OsIzpSzMI2DdsleQzS7hzX8iycHvVaDjYBU7gGieTTseqWJwqw+2VywoJVISfuPYk
9CsAPn2Jo4iWQ2HHqiyLdR788tSPyyie43Xw6A7IkJHvhgUgVYH9zJfHsnIcjlOMU57AC1rwwWyM
EX7saz+VH0dK+3AHlSqlx2ZsEtZk/5f3BPbIc2sBjZEOLouSmsIcrIZyeR3S2Vc3P1tNleJNB48L
/tIJoi9Zo90fltLqG1/vhWtHdgn7KeQ5XXnDr0B4af6p6TzIEwKIIH5MMqqHvKIl3ihk6dIdQQ3S
cM7qmYf0y4itSl9wNS3qbnN417zDOA0jrregF8p2mWzuL/juHrX1bLy3/qpAjMi1CfNwjSvy1Ptr
UB24ZRiFcZ9F82MySQNbJopcZTMZWMs+pI6Q93PpAb6qk7F89ccEtKGBm7TglFALFtTS92UGJKSr
imGqx2GfWOBXRwicajn9HdoiZDB+9TBGXycb1QK1xGd7kkBU3ZOu74NDmEzpsnOmMpCCGAGnAXeT
R8W6sirBhzY1N23Se+FuGYnf5nCSOb/y8BfTOfNCgt0Uo/YMkZvZTzgTqnEfTX2CrzrxKwrL1k3J
7cBGPOYk0WGzoxg7LKa1Ea4XsEE77uI48V9t6CtM8GllMH+DnAx38RjYIGuMUGCnCAMYVS3ToA8Y
EGiX2WjG81YCJcS6jnvzkaaQ8DI8qvYdyKVK7MeFDVHeOUf7vIZdEO9aVsm3bbeIVxMAcMv1tOls
6UyXy6Eta5vBVI+GojGMgjrr+rHJehs7+MdpHScXRHDQQx3zxbNHWqhrY8yVnw9hBxvURCO87ckq
X9yFY8fHk4maasZ4u4zNJXXaygwb/tLkq/OkOaauaVmujFwplIBRmWs7d7HIGp3YAMJgs2x+d+eJ
3TSyqcplQ5xXeD5+ChkTsQJDACVAAKqRRhc+BPEyH2gH1V62ixlz7vqFFU4Kt2Q+7PjP8D00puhe
NF95W+l0Z0sDYbOFNL50heUeloulr9q1WGPSN2tuGzYlQAn4EHcqa6ZhnC00BdaSaY+1I410AREn
iMrMzKFX7pYlHAC9KsPYbYIzv7xYzSC7G9bVs3xmkZvHMjddKAGrdRj+6TuMnnKjK7t2g8l+Xxm4
/l6e8Sv+cl5wf7Ax/6LczEaQ/L2K8N/KvfzX6VNT/9cvNRk/oTPb679pCskbzPsEawnU7hStC5va
8A2dYW8oQjBwJgHQREkSMkA1f1iNqPAAWQ5uP45igv8F9mT/jeqmbygY7NQn0MdSANkgcX5DUthi
Tj87jSHUCRrF+KMiiBN4B3gLPysKnreOEMqwuCMl5XYLPINxV7YNjbMWN2fyMJXluN6SsMX6PE0E
Rpeyc3+JTWO8Aoy3fv6mCoB39IExdilwid7zLpNmGdrdzIT/gMlUyNMYBuFwAl8eftXTOvcZmTow
Nj2e0xALSjkf0wZiWDi2us/pMnSk8Lp1uqhFiNXfh82SFty35VcaufA+aQNLAAvEyV1HN49IjMCB
c8chmUDdjebLmIwhJkql2IARHI9OFlMQzUdgEc2+DCjBhKu77qkcja7yvuRJDI/RQHusZTfnvejm
Jqsg499on7Rh5vNlAidU46TKsBaVNW70imAhXe1RCOIuo8YjfRGFSws2htHW4WQhA5hSD9c8tH5L
gQ3WvrxfGYeMmLhKYzTlIz/oduFe3sYcaxbCHn1SDJVx1yxqfTiXqwXhl0y9AeZJcN8XTStmTAqJ
vusX4gsMH256paXfv/7+I/4v+vBuxvzfP7x3aMr5+jL+7aO7vfoPOdB/E+OZICkNohS7U/Tno4sG
joiCRcD3KUoZHtKf5MAt6r4xb4zgoSaAC/58dnEUgINDQhfUAZC4IPqdR5ewvzy7gBeiKIaxFIRp
uOF1f6EEBs+1rK+9PZvPisTGzmRGcRFmFaIVsKui1LLLKSJRP+Sxs+q+gujXXph46b6AubXVbQww
MykMjPaMpYbuZuxG7b7tEvuKu3B5ZGuf1gWU5uV29KVuskQaLJ3d2iTPY2LG26njD4IOWATHlX0u
Swxju0n55KMnrbkboCNe1lSYz7IvyT0Q2P5LB8q435vYF0nuQ/wIbtxYjznSEsG4kwgylFDESmlO
YE69+mAV3NRjCHUrOFgGKzhbF6nNKYhqRvHI8i66aDGvfZwTYsuCdOG03tB2EqeyG2h4jGC6vxU9
0y90HugjxS76PiGgrbLKCUx80ZK4DioKtd4OFP34OLRkvWhKAtMiWkqLCdJjUDYbA60VwhB8kSwE
dgQUGBJQdVMKBk0VXDOGr8XDnX8SS3oR1VA7MElweFalogOF+hHT8ZL44NwLLno9Yl8VafWuhv/+
HEOK2ME36R4x2/Ue9nbnfYUhmB577uNg46XX2sKW1RpjRGxe4f5CDEOGooUP0ybJMYq0hKyhe/HI
yYr5Eg71cAhr29b5GoyLubGJ1+70WNfpvZxn8bCqmj2WZPU+MivgFRkpGpDY4JOyZY2UyjwmBp15
QTce6er6fITkdbuVCt16YQchs62heGQuGusuB9ib8DysiEW0JbAXvTXAvvzaAJISNl3v/RJD7o2T
AduFIw2uTMnauODlEt/hHpxdHsPrwBctVd2nDoLbsRHtVF4tXeyFVyOLy+u1JDIEro5lOwP6Z2iR
tNS7UgCqWeZiIH6ZSK3bsCpNbtZqcjvtw9VRuBhu8WMIx0JUWiBiIgcC0aiGU4/Jk8MAY7BvPqgl
0Ts6hZ3BnqXFV6c7fw/FpNyxIAayiNTP+MJHWd7ajvKjWUu+U5YviKDoevyg+3IiO6xTHtkFOqje
lvAX+pPndYO6smBM8DCW8eZArSy5/Y85qSkcjL8/qX8ptvnJsEHmAz7I9tpv53QKzpgiORcwHK9A
txIEVr+PWMCMt3IRCp4KmbXkB82VvMH5DMWNURDKiOVHP87p+A3FSIYYP6a1AKPZ781YQfgX2wYH
NfXjBBcG9SkY6e2N/zxkQXBWHa19hAPGZgclVV5PVdUOeQ3g4BJyFYRDGuiPkPkNhMdhTJqdx0OQ
WingetgEXgi1BP6szcmQ1u2VENAzB2765xkJUVNo0/L+Heuj9MU3SEjlLPUkyULYQ+XJjToRmQmx
tuxd7cGeRGQOSA5sZ3+6aKGscDzmzhBe1FO0jpnpQAO8a3Dah6/h7EYQzc3Y70SyjMcBOYXoEhkg
tWNeWh5wWtXVcepic2Kp5u+FrhlCB5QubSZt6YIT5txyvaJTJTj0chXBkucdTU9IR+j50HuTCHYh
kUhs8IYi6xa6eJmu0efHbA4kYJV4HMsZC6MtEz+f1Nzrj8mQVgzSz+i5u6GuZHJjYPE2MMonZN9q
rfWRcx8kUYn7Yt5zoSIsuaaC/o4rpQ9PyDGqB9xs25Goeh7mUtmqw9HASA3fWdCnCvhObvs20O+d
8Z0ubCpsvlQQQHcJIj5vwQaQeIdEk78UcJhYgB1yZTvdIpaDvTaYnqFv2FMdb2ZL2R6YP0RflySs
p10pa8IymUQq3CVeBFhW4uoKstYT1cNQpd5rOHW4ELTwJ5dBJx4dwkWwXwhdAER4yky7dAjX8Hbq
++gYbDJaGil7IpAy7gJarvs4UbbDvQ0FIQ8JkhGq4elVPVNvKeAAyWq/GA5efQBAUYy9Vm97Xc9P
Y+/5bzuIiZ+GoKy+ICiaIvEhGvoEIZWFRYSvzL4COwAgtZQXKFtYcgBg3Z5IEn9KkQICDoMbLucB
WeAitIB78gAJtwOu+Hvuhc2Rj4LnSvDHqFPqmJKBwwmq9Q6oFn8rLClfSWpDIMLk2dnhs/KtPkak
E0/G1SJvhrjduS6ZclhMzcnvO7pv/IGcZCNe1AzApvQX77h2wY1vdH2XUrlA91s+pzLWD9sfmyr2
ueXkWrX4wkvApvuuHasrrxZfyi76bGv9CA1enbq4XoukWg9dSwS2Gt2k95GTwOflsPJLvQaLPWBH
mj+u/dwdwr6s652/2gARzqQ8QVhyz9P2RuNarhkv2XCL9Iu8UjzWR9Mn1zBQoi6btrslaMkxXZJp
ZyD+HmiwwOFg2nbPEt4Gh6LcT5syNOZVzP1CJnQu2s7Dx6jFY91KrwgtwROdrkrdA0PxsjkyOGhW
7nLRw2HhqQAgVYf8StfgtVQy97ej6J7rEhhS1wZLbqGsjvBqE+99yh2CMEF0Hbp02feJm3ODJeQJ
VqvewzXdc72U7f9DT/hXWza2dgpYR//sAvtLleGPK+zP1367wBD9hkkYpUmwpb9RroBR/9sFFmMD
CSEcsG1JD+CMYwX5QyNAJsdHIgdvIolxWwUBrpU/RILoDYPSgHsnJQEM5vC3kt+E/cP9BR4CkXQA
09ufEp2xhJ+S31LPtRi7KK/xKPYV5LyU8qnwosF+jY1GbHTx00erB3URjM67WwXG0jSU98aIJWvb
+B0C0zWiL7EUORVQLxFND5H+glGeybV75MbgKyhsd6Hl0oBQSNL+cgBuo7JwhLEOtXASh3Ws/Rvh
+clDM2GJ96CuI3+IxMetN0SvsHTEJwa49oOBQZBr5AsvMeWzU6i99VgSInc9DqhdpR1GegcyEJ8l
Vh04ODvBwJq2wAB2od9MwA0rvL3ZJP4nLkBBuCr6xKd+/UrBnu/hAcXvyNwgbLTN5gih+vPVIGP/
ckk5P/nRHO4RqumvpnIciiECVTamvsUjpuYdfG3+QJel2YUACpEXVzHIOZhQu8bgEACGnT76NaXv
O9kiPxRNIwzobsh8kzKAq43AcVBFpr/lJB1vK7jct6o1zYNB5OYz7ojbAZMS/nq+Rla1S0GC9H6O
oBDcmwkXHYKLcORtHdGrsaLRnssW/+ogm2rXBSdRd/V7HgNShhhZFukwR/s6nbsr5wPkcolDhrpU
RmWGj9MpiSZ2TGgdXeCsDJ9kEtPLIFz6RwQm6IswI5ADhI0PcekEUrSDizIiY3ERwF0r7CqWS9HE
rcuYatbrMClVmUVeBDM8gZSygxthd37tmEHUqawOjWqDQ8hKegHkUCzXTkyI0tooft8xbj/Fc9ft
unbPPSwKuWvXYUemQexG2apTW1X1acKEc+9PI38Yls5TRYKuOgSCxDrcJnZt92IVyXF0VuKWa6Ld
vHj8sargqinEZfANXKPn1HPVcVhcU0yYu47ITo23xDIspsM8XDKtuy8ByLeLNeLjF8g6vckY8MV9
bMbo2GF1ersQ4R2aUgVv/UYPx44pC0wO6Cj3IHrn8CbSfyOI65duFwzz5+aOn0RU+k8P1/+lp/gv
r/12uMZvsBbQbSsArUQJ4P3vhyt9gygHlBgUPcc0oeEmzf55uG6CKI5j4B4h8TeZ9cfhikINFqEb
J0ZQJKXRb2UXsXT8gwSLlQAhDxzhsGJwwv66HYTwhntqkWJCqP0mVGn6GvgLhkIEi4cpA1rukCtS
PTZRBXQIbrdogoduJeVcqD6FeezL6X0UDNA7NbJaMEK8aPrSmEg08IX76mWCiApMCGhrfyHLeYWA
0WsPKoNc2neDQngqKz3EIrOVDO9XlfTQWJCXfDR05FhBatfsVhtPdQ7SMFHQXOrypYJkQXaVKYcr
HniM5WVLfOgjXQpzEpu6umomCjBBdLw1B/iB5bUHLgOXAPJuIp/7YE12ZFGwaBd0TowZJHJ4TSsa
V06qnTykILzEv8AWEgdFXU8S3OwIcnmHIhBhcjeBED2U0apQoaA8ex9BdYPt3xsW7AMuZ3xMeADf
B65BSIPAlST7JWg2SAHVA8iLgPEieeAN7Ve+sKnLa7M4fOTlgiXei/20IJGZcQ7a6kMfBikUYQTY
0yw29Xj0YWzO0G6BPYHbV/BYbIy8+w5WXbjuEl6lLjcKjAn0Fu2NWR8t7y2qJmBaqdTD+jaid2ML
jxlxaJvFawtvGWA/U7ZmuPPaV9fbqilWJ/HeccHZ8GbgiLLAuBdt3kvjn1iJH8t7vBv3tlfB+jnA
CXw5cwsEbhp784H3AbkObNev+Tp00DRCT0zvLKQYmU08jR9aDrV+FwQt++CLdDjxEae3mEH8H0AZ
si+y9D81pa6RT4xDV4QqJm1hYX3bfF1CxrGUDvaTQXwfi14so2vNqAKiBojy4wJdh1328P6rmx5p
vFcVjX24b9o1Nce4R0tMvqbpSODPteWDTtYAq1vlJQNyuAL/EWYWwkYxq8H/KNqcvpleS7OCOo4i
w2DFrbP0Mu0IIgtUYiPCZdRZkyt/gMPKt0gjXhqGT+nUD7g3QUZvOFoN+otr2BE7IubbWMbh139/
JQYyB+wkHG9/r8P8WpX645j+86XfDtoEIfEwgt6GtHeA9nmKk+z7FOsDgd0ydRhlAc8SjKrfQ3Vb
3i4EThGi/CiGbf3joE3RP+ZDnEkJkNetnvS3UnVh+JdU3ZZR9ylBWxJMN9wD54P4pzE2gAdr1nHZ
W8S77lafpx8JipVI1s+JKQ+CpHFzkgR7v4ro6N1Um3AJax4a5nDWM3mNjAjdRE551jvns/YJRRg6
KEdgdCiCTR4dYfPeUs/vN4d5PK56hY4ar1aDjDvrq3DAobWaaRgevE2A9TcpFlFk8YC1DWumpRqj
z1m1XaE61ChCGYcDNBURFRC9xeMgEXwqKmA9x5B4GLadt0IPNsl6grLcHxm0/Zyyxa+QpvFDsY8j
zQC7YEmfctI59l6C8TeZ8/xu3nKzmLCrJiS7ziPdVVAT/TS3tnE5ILu6h0fthTcuWgJglOXk09zv
l9A7rZSvN3Oj9K41ODZUqaG5+y0pKtbYSwQEyZNruSOZYCzMBqcSdmRs9LKmcezB0zOrMemrqr2E
YW4e1sDDjtAGvv4wNal6hxoCu1d+2b3103oE7TZytDA5fzpMvlr2DDrZs/Yx3WHEq1HrYiMAvr7X
XQNsEbd1uFZ3C3DnIVvgf/c7OjINuAQPwyn0a4T6cOU/46vqXkuk5Z+rcoKOBox17+ZwebKBh0RD
jxtj2rf1Io8rDJUX1K+sfBdCukYovdL2JoUR/wHXK4byNY5vIviPmwHK5j1YVnldWqBfHSPuc2nC
9ZSWUj3pwURYGkjJbpUx5Z2RwVQe0PXUmwKUYJcUcAnpRUU5+wpbMn6NVi+dimZCwLpAFwuCh3oY
5GeXunECkxh4xXbrIyDSJpA/RpniGnODTrfEWxF7LRAt+DnpCVByi0+wGoN3Uzk1dzIRfbc3wEuy
PtTA17SY/cMAxNUcI9N27yM3+IeWaXkJgmcBaRrbOUCIOoofm5TJOScNBivgm0zugmnRqF2qU7M3
Uq5QhQLpfSTcBx40xiEC7AoseDvN/BrRc3asVgN42Bu6Kz6U80MJumOvknR+qLwK4fLUTBECNiM3
OZ+W+UL7CJpmGkDlHdepAAmJL7UeLYJxtV/K3ARuftHIWlyAyoJxq1ULzo1gBwzzypuabQMDjebN
cvIygrIFH5+RrZ7CzRnhBudBgTgIu55jYp9mb6Kwo9LXtlHihZ6rpUJIkwgqniunwgQ20R5a05TB
TnGHpZJ9m6nSi95Dy0Vf1bJVV6GfgT67rc6qPTdbpS2CQmJYDOrGttKrdK7Y1woj1iFwwIMKzF9I
raSdGm6mGiTjYZkX+PL+ZNZrL3LixZfUv1OYEWUGzrB660lpT0jG0yt7buPyxhLNXJEs4/smRLK2
AM6L7i6wSF4O0NDeVUk63ESDTO/Hc9eXNxnvJM8NYOmK/rFkReHTsHWDsdBiz4Sp5g5lQgGD9h1D
kdhyLhXboKCTBWjb7fANUzf+Vj2GqoptEDg3kulzO5ljPX1LxtgdvThpsJIFEHdL/Nzu+ARYHIjB
LPJhQdBzXcoMSGd/t0hElOW5D62LITCAbeMv7FyYZk0pEftL0Os0nSvVNl1/v5571vytcs3NKerX
kAoG/o+zzDwONQ4IBKEGkOITrev+HalCD6YRGt0aGEFFCctpP6IhZI8iH4faKbQtgaYcx1t7roZL
zzVxPg6wax8DjswVQGm2730f/Hx9Lpjrtq45e66da7YGupA0lbyQ52K6AMm+8LKkiZx22LoriKcl
j74irt3cDbrSJ7zVKQWs4ANzdganqDfMo8N81NnDAIwsLWacZA2OedAEzx7n0E3LEMEzs6AvYZeg
gGM8OpAafF8nZuaFH4kKWaokEH2u6mF6xczJxRUDm0sOok4mjX06jtjh33/m+d7biDHkn009f/2t
AD+tlyFe+t18ChH6R5MNbH2MGGxDbL6bTzGDCYCZh2KNhDWKdfb71IM8kU8j9HNGqMxhLIJj9Yd2
h6p86PIhsIIIPXJQ3NjvUAJBjDf2K+ETY5GNgxDzFSwt+tepp/MQ3pmi8NBICNVFiPdpUNSGGQCp
t+ayjGfRnSpuWsSb2RwUnJdrmTFLXgSi+tidKt9/HZI17g7L2l9apreciZX2RuIK7o9jGaawW4eY
5+k86ee5BxZ0QgRhe7xd94h+vhIsI7rbnjn3KvmQ9iHcUCRvgV6OExDJmDTeQeObucIyQq59GJrh
OIR9pQpkcFHCgusfW6L2+qagiJgf0n6B20yjqbxmrGo1LHBPHTTHXyhr/H6+IaJqATIiiKmr2V0E
KEwocfhP4x2jG+1HK15jswZDetNjDrrHPKELgQP7hbcyfhWyt18VOIdhD9OJ3vfan1HPRhCRxd6K
hU4TL77vcfWSvaGROdpoESrTwxLsNCrevoR2JghkVhZ/LMIu6nGEY43DyNj5Chel3jUS/S+omqCf
o0THzylwc5tFQU+uGuXjLxuxCuSj9kEs+gNO4alaPgKn9OfLCXkbGE6+Ku8hhiFkM66YewA2T88x
+hY+aGxdOZGKwCFI2lctgSGggc6gpEjL29XvktuEl/VdgHjIcUW8OLMjauysmEB4e9NEb0FJxQj7
DvU9Zp7oaJmabhGpwE8dhEf/AvFaDllcV+pRmUQ9x7yfH9MpTQ4r7aMvIVL1N5Ph0Z5GOBizaRr4
V6yDHFmomQePOtJtmaHWMaSHFo/MY7zMyaM0bH4PSFRewYxDsAT1GyMGGFfiqjG2Fjvu9HSJFIc6
tpAExouUWTSBarhcL0HnxHVkS3lsedze1mNHGkQWpAmzADmy58GoJId5Gd6DVk8/KUyAdG9aE3yc
xKS+BGPlfUJAk70m6Gc8IiSC4OVK9T6pJ/LcqoSglU5QpK6b5cb1c/PBRTNC4G6F2jGF/HqYpWxy
f5Mmcc+GyS5C2mWj2Bv3jKokQCp2IOQe0K1y0A8G+rEfPOyhMe9G9P8Z8wTrOH4iIw510fpoGJCx
+jouesIZH8k7F8e8SBLl3jEyJG+ntg8fKR86WXgCEkYaxJcYCtuXEN0Ct5WHVS8rOQjmjHaou8lQ
vYUmNpOUEFTuabsMN6DN0FMQ183FBKjhVqRzcoRsuZ7sNqmOlLETeAp13W9zLPxNMH2x1OxGIhOR
CRFi4u0ne4OYEMZgv0eYamfQOvLSbHMy4qkKI/N5fJ62SRpiL92LbboukR1+RrDRvXayT5+DbQoH
qIp5/Dyaz+cx3XoxRna9Te9ES3EbbBN9LTndD+cxX20Tf7zN/tJ2y16cF4Jm2w1crPT1MibtHXrF
7R7AoHqHSGz9wegJiwXufPPgzutGeV49Gk+yhylBE5ZAtxk78m1LwYiMhUXzgTyJbYsJDJ4k4AX8
1Gw7jtu2HcRzFsQTqsA7xed1aDqvRsG2JZEyxcLkzssT2faoCu0J67HaVqz/nGv3n8q6ly+//L6P
H2rD90sbr/5+8/oUvAdKJCDDBlAYoKx+1xuSaINZk+0MjRHAxZ38/ebFLwOCEIy+io382GK+P25e
8oYE4HA3ThdWVxL9Vlr3H7APeGYBDDqIJJvsATcOd/zP2EfLZk5jVx3gO1le2G0Ji1e2RWawmbXn
HW3a1rWpnoMgU+ctLlpRNjyddzu1rXl4nL20aJggqqDnTbDblkIgAQjmb4tied4Z9Xl/7Fo+lwff
LeVdCyzsVkgcwpnwnHqqtqfcbc97uj35liJWhzaG6rYKEO4CGtw8R+fzYlxKnB0xqNcUODttbsvt
cAkMZ5cS8RgMCr0sxu0QwgadvGXbwcSphyNKKnVXzh3G3e0Aq7ajLNgOtRin+xMPcdCJ85k3bMcf
2w5CZUqcieC9yH1yPinhhLlnjQIynXdY1Xf9EHgURbvbCTtgj7r2t2MXnyq/nLejOGDLgjQ+jmck
0oJb8DwEURoc3qBu412ydssR5hN7HYfZ+wQeRX2RGJY+oqcW20NPSfppwPxyjwUNlUemXZ/d+d4Y
pxR3SLNdJ0Oi1THcrpi5X+1Leb53yODXuIPQSrmHUdCJQpZr/7SOXvOYLkJ8aHkt0ZIB/RSrEyJq
d7XEdj8kcTTnFaKfV5Bsr+p+hQGIeEHzHPYLU1iHXfowGbPiRdx216h/jiUMpA7ZVGrRpblrsGrf
1L0LrpvE6wusQz3SjUDg0MbnLCKDHs5UwMw6eJEzM6iQq9OvBL0EhVO8ujZB5AqTLkwWa5KK13U0
3ttEjehvRpo4cQBQVIIlDRghwd3mqyfKAH8UhPb80qzcfj7nnyLdNwOSCxp9t0U3OiBwxnnI9Qg0
hmbf8k/Gc0wUpFlWhHNhAdyuyNni02gGnx4E+n2W3c8hqHpZp27KbEtC0M6hr8sXtsCvePoWfEo0
+gh3yEjNEwKlP+JPVSyqcreSqX1lylWnYJjYTUBC/nmpkaDZzUk7nlASul7GSyPHwnRdJ/M5ZlVQ
RMifBBmaUx14qJiDOgzjT8y3VfVcTjNq4BJviewxRUmTd1gV5dcQPsI7PmLnv0TR8nBMEJq9CgF7
FKGrkdP1wEoilJTG430zOHbykGsvWiPGfDYbT6nF+rqEfvsFJZXp59EMLcqBMdp+hO4vXhIfZW8Y
IJL0DmE5ea1wtewleqIAZ3m0ugJzufY70OpFWDLAHqUv6hOLearyuSYY4eagj9Eigwg45KVm+NLO
vub7ylX0BlTv8IFblH/DdK9DGCpLWl1gGfQhsEF7FGdlR0u+AknfBB9iarQUbiJQG40T4jRnbajb
ZCJoKiyrztrRuMlIYhOU/nOuNgQ1/n6j/OX3JP3jxYbXfrvY6PYLBvE7hFDoj3/wsR9+v9iCNxDX
t9/3gD0OmyNa6P682ECKpPG2UWIbDRiBn/nnxRaDO8fvBtiE/nT7bQXxb/EgMVzRnzdKmKKowAB1
st2sYYT21l/vtcFroZHioLCRj4jm/5B3XltyG2mXfZV5AWgBCNi5GyBdZZZ3ZPEGq8hiwXsEEMDT
/xtJiqL0NzVLt60rSd1MZplExGfO2Qf7sLyqllpLg0HEMt829uRdRPF0iWkktoD0ev4NE6p23lpM
/w/scfRrHFj5pT1EcjdmkIaBq/t4utBBwFBkmaaXuCMLwdp9ZIvHVMyHsuLZeOzvJ71rs3sRgQl4
0qsV85NlkxmOY2RdFZmukkCxbVDbslpW1Tty7yN4qv5lUJ1inxR36loznOnBl55VYViVNlQuJKRz
UIBGR+I3jWC7CqUNELvKOnm2lgSv4bSi8jcVleIN+jpW+oNev42INN2QedQ8ohLQMxZ8qVO8+117
kk02C+D4UT8/wtbzq5ufPWDQviYvLLu2dK6hvTviehk9JUPM6XSyDe1697Fo/KzcYwd0put/z/PF
h/rXz9epjtNf2joQQX1/vAgdZNNk+zYRnXyOKe5/f7zs34S5hqt5UFZwVZxXRN/rRlI9UWx7PnJg
PqaOtQqxvk9siGXDvYRDZF1XuQZ/7B9NbNax0J+fL/wmPFsIC0zb5On/y/PVRssUxX2xmb1B2s+T
nMx91kBcK2NHG7a1m0UjoMB5uSr8AT8E19R8MjUFxH+V1xSjqy6wlmlffBh4Mfz4bLqRaQZevFPO
xhyN+nNrRfa+AY4ETb7lnTRwqDLAXVk3O10T3CBOlXW39uzUWx+nyN5otL7cpJqVXWGMxNZpA8Sb
N+NsLBMU8R7blYHcFcdcWiEZcr3HbikhM1ldve8nd7KPPob8i65FF9tniFvZSUzeyTsLZ8eyNuaN
ldHKbvvUMO5Tr+OppE9P8hGbRgEQf9XkUqtxMJDmlV9r/TLGD7VvxNa1exb2JmeRr0YZhOA39uJ6
LxyzOOq5D8jETxAko/hp4uxVR0Rbh1FiaEAMclW0xr5q54rtRDqIaheLVddQ6ulnzfZcVtKLibCA
lf2ihUa5lG8r6u0GmIfuhHaZ4PKOa4GKh7kDpnS3ysZr0SyWd0OxZx7Bdzn7Eh3vrViDTlZfDk5j
u8OoW83jbb5GogCoEY+Wv3AwzQSm1KVrH6ZMny68eY1TaavsYK0RK8YicPf3XaVfDdlIBAuc82QF
nudn9vl85qDDp9avijMdXVtB6YyfYab3Z356t6LUizNVPfe0iCNxjrsdxRDI9faMX68GvqPQmzG4
7d0ErzcmXGXtldkKkP5I4MoTjlfts7Ty4WXJqgzjf1PkV/OCXkWlZtkdPXzCC1IEyohAGLHXnbSl
1m9bPI7JnU69foqQs7Oqd/IY1xD0hznIi6EYL9CVIsRgkKlYbkX+tnB6PUVq1hh3ZC0gvKWCpE6P
59J953ksHhq/Kk+DKmw+uhWxJKt7qdplddk4O4nmmsmC8MAZWtrovSZoyV4ytnY4RFI7e+x6SwvB
87h3qSHyq1IpeQUAezlhGxr3BhE9zVVXzOjsRcsoJh9E+t6LfHwbYru568lBQLBdOVxRvbHc8wkW
J5/4gh1mfO/gGFoSmI3oLtxUWn4I+qLetS3assRq9Y0sbPiQDIFvsGNBRuVTiIm/LC5LSwfjgZ3r
K5H2ZrAu2HgXiE8Pei0+ja3Q+t1k9pScJhp6XIn6kj5VCwkEVc0psJlNNbL30nynC+0JLqaAtKDC
HBfBsdMHaKkUzM4xyhp5Qs/S+HdDgdN6sAaT3+9iV9cMrLfaJNV+bF2RBiUVxR63fnxN9Zgjk/F0
cCSTobRPWZ6V+Y0cVTpdF23u30YEZWhsRgbro1e4ib+PfFzKNPuYoeHCdiGAnmx4yDLDf4hX5TGj
zvbjovfOgjUnUsOlZy3Rrp7YALqQJE///bceUwjX/Xs348/pjn+UlD9e+HtByaQDlQd8T+4vgXPx
9xuPPQTCY64DwHkWMKCf8P3kh9kmJSO33qqeOqcq/7jxGJDA3NEtxijcVPo/mpQY65v8+cZDyYzR
Wbct5n++7fzlxisnhQ2ky0M9MVqgM2AUAgDAyaZ2NO/JzXzrVdnRF3RJkQ+VJTVZ6nudddV7rNED
FWsG7otM6/VgMOz3MTWar8viax5PuopI8dHyqObGmv2DzMyLed2FhVVpyflSQ3TgnxrH7nhyxRgR
84OH54WdSA433S6iaJcWzJ0PPSKqNOzmLIpQGTFDCWYLolq/mJ0f6oVN9ZvZEyQmM/Lgr9dsILrN
wH6oCvhB9l8IYZrfy2qQDz35HfW+1HL9wU8Gx98yF49P2NEq4ELD6ufsgV40R2IyIPVgT0rTwyQm
MDd1urZ/WeNY3WWamQu7FwuftN2I+SHJEiAcU90lgNNcB1212xKzlEQlplCKbzRPtZoBNPn9Rrbz
TJtvm212F6t2HKies/jDkor4TsST/amGLOUGtSWXW444kmyG2YCYaeVx9kY5PHx0wKW+eAOcq143
RzbeWFeaICpdKMopsmFzvzjA+hPfZd3uQJ499rUze3s1WQgYq6LKn3p+2OaWPtr4JPGN57ts1vy9
zaTlPu4W9WBGVf8c+X0yHBiZJKueK2u6EEPuggo5Ha2MBUslsExLhkLg5HqsmjbkTP5+xQiDtRFO
E1KsdEKA4NU8MNSAU2Pl0lxOMVv1efsNIbHoc0Umj8GV9/cciSVl9IYvgzyG/a9oEnY8OtclNdbj
N6JEy+Ae4JCqjP9ElECoDtTZlv5N9v+lSsAsIqxqcKzECcXagZRrLzJJVhybOvFoUfjs0K4oTIky
dCxdrvdI0TJNWZsb14XGsbUbuQL6oTM/JNJQ1zhXaIrQEfUvYNiqY3FumgxGpzRQ52YK0Ip9pYER
CJdzs2WeG6/x3IS554aMXx7N2TSomoe2nHFVNucGLjk3cwvnv0SiszZ51trvZWvn1zq1fh2LHp5n
EdXz1l57RPPcLmI/uazXDpLlP80ku3QeLXvtMZtv7WYq7I6xjA7E24wd92vrExBlsFY6zgSQy+2/
4tZg+s0Z+utO6eaPJNo/XRrfXvf7pYG7nHkC6mk00CjwfozXuTQQ7JnUAjqDBuAWTC6+t0k+oYMr
J9NB0Pxt9P6jTXJ/Q3mHlBphFY5Mk3XKP2mTKNX+fGmcvybeCRoG03yTAfufxxB1Ug021OrQav38
amFPhFgIUmOOHqpw7sA+R0d3BkcT5m3m7hx9SN/9FraTRuTWbrDNbGcDgAlrTY92fTp1IZ5DBmKR
EV26UhVdgLAP8ruaYNwxoB86NGPk6QQGa7/D4nn9o80e+d0f2e0AmOb/rrrig5WL8uDFFaqOFPfZ
0RhQWeVjbN+y2CzgodvNsm+8qNrBkna32VzQqWiS47Zn3EJz0KUuQWS1dVnlrnVDCa2MADya+dQN
LcN0zZOf8366y/sujsJmspw9g1J2pnDiygd90sZ2MyZWTwZG7rTvcavXJx2L13Xu5pm7cnijZZtl
XGfbLPKB8FkOqI5NunhOiJSw7gKfQ6AJm7akzWt8s36Zy8Y62HPaU7KpWL+sisS644GOnkfHX0Bs
ehKbj0uY3D6D+5se+7FSaLCy5aiy3h7uFy5nymPg1hN0vQ5EQahcGvOL2iQsKlzaJlqHpHMOULrk
+iaSyspPo2zyE76L/EvrzCkU0k7WrzHrNHEox7hnbD5awrzqGqfpkEbDNt1Q0gICwnXoelvyt5os
cEzEkNs87U0/sHtwZhLOm5iWNyOThbzS8rEBYjyWbIudeqjvWKTkJ00rqu5i4ATzj1aDOfWDXQuz
OMyliAJnloOzseeYEl7LVP6NcNTWffFSuzSfU+vVmE314uvcTONFhrP2JGQdhZo23AkPYdXcyea4
LF7+0eWpuzDg0w3wAaT5Im3RY8iJJ1a+GnmPWEBHE78oH0RiRiK15WmM3wByknZi5caR4x/qAD1b
zt0V1+2mT0gvmxM69mUe0y39ZHOhkMrfKGHXX0d7gGmkQ3y8yuXic4rW063BJYDkni9klJ0bylkl
hykfxu0cD/hTwR4EBSSpi6b0Aa1UyvVeKjHeTal2Zbh+l8Hgc1HbL/kJ96YHjXi2j6DNDs6kmi2A
2PpmTiYY2U5zyKZCuymKahNP2mtMntngztleh3zxzMLkrkbhgfveMZ8SYbn0T3qHYqlSj/m43vN9
/c42Ld4smhBBNOcJhV06qt3sLC+e7pEsWfVvVqzMz9owHM5flVZZacCOMA2mDOPT5CsHeEPzvP6B
ZJjuMs144X5Kg1QUEptO3e2iNnFBR1jZ3o0M5ziJ6nKK7e6+dXuQkbbjrHgv0PZtezcyGOwCowBk
xRF6hZwBXmOREzuRXxdmm+zqdHyrBKq7qLbERePF1zJF7xHYlXm0BpZB9jLZKzeR5tFTRbGL0nQ8
eQYPv9EyhBFoZl/trjReqq4d7ngy+jenNFWoSKaShQ4I2BnMr067LNsJWf390OhqH2dJdAP00Dqw
XHoA/hEdGPp7G87xD32+ZHdUZGKTzPoz+VRXtq4O7voXxK0JPY7oz6BO4G5bcyyeuwqKlo2scP2P
ARiOMqfsWMluCkcx6Fsg/85BJG2LHYABUmXgRHakha/YjzbKtPB/uNEbCyw+OLK4HjIfp7sWFSf0
QfMTgmt8I6afAdKckAQ5+h2SF5rOUY93meG+zavCQKSpeCxbqd2XvV9sTOwbdKTuS9WDud2zwuTX
Z4t4Dlb4/ligI1W5/8lpfbEpqErDsszdYP3ZZ6N1mxHZt68ofZHyzC1EsXXTg43EPkZqbLddyUxL
xZ/YyuyMhYa6WxJlBTDjnTCFjLdhUOXtI0u7m41iOkgaF9aPU/IIoVgGJuFRxwpqLUb3xDJIkqxc
xhG2jgG3HzeoQhw0rB02if/+GuX7Mn/dHfy6SmHW9fnrLwe662u/VSpk9qBt81ZLFko7jw3J7+0t
YjokAgYqGJeR6rdt//dKZU1OJnqOiS6tMaplyofv3a2PAM/if/U8qhybP/SPOD2mv3avP6f5eHxJ
vuOBEweqaDjrIPpnHUBGu5l3o3ZwM+FCeWlrIPyqOJmG6vfliOg8UCVl+ZRr+qYX8s0AW7ypTLe6
joxSXLizsHajO4JpMKO525P4YX9oEjFcYyEoL4TFf7q9iwLfIPMEdA5b2MpgiJURAnYaCOu86HKf
yFHXHJvnhSIZVZ/Rw+I0tOGaAMlpx4gTk1nE/gRDEjkefWnL/eLzyr6xx88uxqMuFEjdtsMI3mDu
/PYzIQCyCJn0cL1O9W2Zup+LBAG2LIgpaLFTjIdkRdTPK6wengMBx7IdOI35IjXWvSc6CztE3usG
+bRm+M7aa6+V3q7Spdy2eE0XBc13rLUKuQBiiC6oTX+bZBX4b5abG7vyj6PlvyGtqyApTvRFK0+/
sKfHyFoeZptwyogpXRVnEwIqbd66uZ8yfPOacLGm9iQM8Wy7js5bJyrQoJZvphHGUSmTIeSqNPBy
tf5eimk+lGLMDhqp0mG5AO6VCwL1Io7SMIlnjQADC/61ld3Ok6VdtwoRsJbfLGD7rGQ4euWib9IJ
XZNhJhMFSA0qlS81f679pnlNdS9GqGwwPPObPrnW8ffR3Pql9wiyt7xsUk1uJEUYdCcCLja1ApnG
3KHawlPogygS5tci6vuTHWn5o1KDz1xTzl9MVItb7H4t8iOdC3SWTRIIMCK3GFO/TKhEyMYeRKhn
CuZbb/QXPfbTbdpTcM7t6F/Erez3fbzYUF+7hTjfmcwXgq4RgBDyWTxIAkTaIDVFctIsrWCmn1b6
XZzp/KYqYT/4Oip1Cs1HQed9rGLPeFKCCKGNOTvcpfNkPs9zGV1X5OHOQZfFs0AQJ807LZ6h/BTo
4q5IuYpPWHoeFDSHeCjKI5Te4hIXTB1OAzqaNO7ItUWeGhADMuyLbKTBTZFkBdL0IEFkC74yjRCW
F2bxEsr36OZPCzxQBH7mROpPZSY7s42p94oIRy4//LCF5vNQLJ681uWEip0x7L5x5uZQuTW0cstJ
wAB37NdDgyy6wzBJeQDy11yaruzva8IYj85MFEnlw3srqoQHDlryxNg+iwBAtP51NFN0pcU872Wa
6/S/MDsKBOCh3eJjnkaLxPKcUXxZmm/sopp+rxqDuEeCwwJXSUSd81IK/eTbcqL+51tD8lhPr2QV
ybfKF29jDymFfEDbv5yytN8JK1ucFWZe3zLQc9nl1FX1mFbZgPhDRRND4EiytJBW+Tr5TXaRC21a
GZn4oWhkSLZVRYx1mskD8gKntXdVDd4k6mvUrCQmb0fasZO9+N6mkFp8g6vD3XeCQqfrE3wotqsp
zClz9agjXL8wE8egaFdzsu2tqCC9DDAKSC2yodY82LuZzuwZ13R/rA3EFqRuJN2TzG31WfNKcmKR
KjWM16AkhnprI2AReC4CfZkNzr5IUQk3yeLq+yz1AUN30rjuZdNcVlWTnlgNJg9iKNv7tjCQZ5VE
z3zKHSjeQVbY17MqjA8WcaHQ3W1133qwvSB6s/De/Guu7dVa9+tr+6Z6+3Wm7PrSb7e2g70PidWq
0mPOwLbzh3Ae/YPHfIBtKstYwvBWKuX3W9v9Dee1ydjZQem+Sv64TL9f2zYUKIbcZyIGlzfcjH8y
X/iLbB6RA1e2CR0TZyK3t75e6j+ZBbXeoo7EViWHoTiCVVUHsU6bEta/7YaPuW4HEUkP+bda7ov6
v/8544M90l+qBV66kkIZo5jIF12d2crPb1wBrerYSIUGNz7KbrxA73piOel1kSHAu0rSZWHLAvfu
bnZaFoIVWjFwCbTbd0sM2SnoYueh03Trw2zqNYEdwDWe2RmBG84nPXvF4ANKz6mNZNoA9K7esE8D
hE6zEYY110B9VJpHrrt0EGlsunniaGWsbsuLIR2bkzc82/mom0A02jnBseR32uWA8asP4qQg39mx
6+qDhjb53Zuw9mymqPhoof/eC6hLdRDPFkw8Y9RxGZQx44hNQk1dBM2M+xwU2+K0oUdgGmB6i/0u
MqzFuUFAiZfcqZsGRj4/gOdIaOreJKNebUgMYFaD60xb4N8u9RxWXkVu2zh2nslPR1J4z8YLrwBH
viwWAYazd4kZuT00CeaepnTzUzumVh3mo5F+AAE831qycT8yQVCf83hBoyjMDGO5M8ZdurelaYBz
SiUut7Zl0JCoFspfVY6IhHtk9D5kutsl6tx6M9gDoxAz64sm1GVUPEBRggrii0e3kfy8+1ZpON1w
MDFDgklO/9yniThMJP3W161frT3KbGj6bmUkqrTMqy1ptSlEoSaVD5PIhuqUVXVM9pHwsseU0f+w
ZTRM8COVIJN77ilBA790l1E5z5IEXCfFQhgleRamug0lUiSNu7K5h2jcC9Aun9O6NC401xjXCMlF
t4KYYZoR6I9e7bY+e0Iy2vO4ZwcC8Z99iNfqZRqmwzggzxeRF+2KbKDmco3SeiF2z0dVdt6w4Jhg
29Jxqc6Xc6uxhTFncUEbyBz4vKMpKumDwj7vblgDNl8l+xxtadns+EbOloeijI1Pi+LziigQ9kD5
eSc0sR1y1jXR5M3ek6bj56uASM5YTav0viCa7qIHHMa6UvG4Y6RPRyoKNRcZX4eLCqJZlCwu/jXn
+4oS+vX5fp+OX7v+l33Z+uJvJ7z72wpHZbmIpdJd//VHX4YizfcExzckP/Q0rCt/nPCwi1gnMHjG
VgVYFdXNjxOee4GocUxWrCXRfa881n/APjZMLpifG7P1bUzgrbivXJOlxvrl/XzUKlHNzLiLcBwq
/YGJ3fBUVql3JZAJEGKN1SAYKaL1i2+pShW2zfoyHjX9Qww5C1NpOnubX+Qr5bBEj6Zy5z78OWRJ
zj6jPOgVzRdtjE1nZ44eGaW6tNUnimT1MFi2Fa37Nsi+0PepeVukr+OZ/Kt7SW1j/8sbiMB2Ax2Y
pOjpSuFHSDm0tQWMs1g1nIwkLBy4LA1DOZLswVGaDjDjc5uYiwYj+kxmXJZ+jDJHvGqyI7ZnKXX4
xu7scswlplm2oZ1w/4ZWzLoxyAAFMc+uIsJZSHEocHZpZhM4htDjCzsrhrDlvNKCqo/JIuPinpml
jOV4CZCOoxiPmYsts/ajVxPOa7nzzYlJKommHWU7J/O9dKT8TH4c9BLDigzz2iddhIGhk1dwzVxn
uE2nCKP7mu3CXMxOoit0BlW1h27IzaAMKJvTmT0C0wWJOKERMEmSfNEJ6stFUm4SgfEqHG0zwb9O
EXloCsNB3sPe6nIW+vKlqeACbWtA9Q7ZcM3ifJxTCGiBGNvhWlBjP3WZ2evb2lnqODAIv7Dv68Is
9xWii2UrWhX5ZPWUzdc0b9awq55lJ2CVVs/3OnFL6Ll10ybrFcsvapsxjDq9eV9PXXYGlnix5ZJi
aCFGdAlMwP4annJffahAgK1X2Jr09e85n/5WZvvptXx/7V5/fUD9ENq6vzEVsleZLZhm4Xl/KAEt
NIJMk7BfGrbp4vDhbPh9cCTYcYEf9SE5eyZ0oD8mR4ybqDspapHuYerE+PFPDii+lr8eUOxpIYea
HFQeat//RXju8t4mZGM3NzEfrixzsK+zb/dGTB242icHXhh5T0iMArRcGN8TjMRH+loyg4mylzTn
qPtIqYEWISBM2llqvORnM71Vuuo4ni32Edh2oteokr7maTsjjcWNHzP+fOhXh74jGAPQbLqHdvXv
e/TWMB1WV3/S+e7Jqzzr1sfoHG8SMwOuzuQiPfgrFSDxpWmFU2/kwAJWtTnnbXq0ssIyN+SxIUf3
qWJeiBKzGJqscvUS4bruAUcPBk93MXGepe1VayFz98+K9xz/dwBBc5NRO/fbaNXGE6uDTJ76QN/F
ORJF0oOiW0ISap/44TR9bVaV/XAW3NtlTig1dsu3mETK94H8C4AABYkO8Ic2zarbRz0DqxJ2hwiJ
xkbYb60af70f7EsCRYaDBYCpPEFqF7cjcatX0dki4J/tAto368DZRtCvjgK5eguM1WXgnA0HBRA8
c8Mh1qNnG1pHhYTGas9GNsuL5WxaYCoVfzEj273GWpNe+PVQPdSm24cpMIqDLvmdb0k9Ww/kocF+
swcY6vthZhT9fem65XvqNgA0mX3Lr6npM08HaB0NW6nl/Y1utSO0EPTRkAP9q5qJ9SV1ubanGzJn
QoIVmdVAPgdE05O6zdKp3KYqrmIwfsPwKBJXoIueo+oG3I7+iL6ZhWoyj0vxOW1z70tiD/olpDNA
O/UkHayIxrRO9Du/My7oDmD59ZF0ibxl2Tbs+iQW7zOYwEe/9ebHWlNzF3TeMkF3iFHnsv6P4WOC
ojXvMrgYchdFhPMFbl+4bznMu2RH3Zg9jYjiKJR723lwczq6IO3y8dGRi4chhRSmftPVhuyOSeQM
z/0IhG0DS2KqQs2cIhUmCP9uwXo6RSijuRr31VLlH/jhNRrDngrpYTQRI/QiBmfxLpuyMVZ87gIT
LzJUd4y0mHASqTP32bXE/sXMJOqoQy8jPQw3be2dqpb5QsgbFxYZbijKt2xb4rshSaLbWMHG3WBC
jL1jteTxPR/Rjugj7JdvIz3IgUVxF0ZePUZYfgxx8JTW7JDVI2oi2s65zTJl99tFm2ZGV4ti7oNX
Lbsxl15epX4ZvWdGDhfKGlHTOl3ZP4laTul2qKNxl4i6OXWWxVjLc6tuV8Y1gz7HbL2T4C5knAjH
IWCAaTx1bjNfzOzViMnlG3E2I7alPuA5qF/4cGXXMuEi23Azlu1mMOIl2wApGUhlWKwyjEu/Hhnp
xnb+gIZU1fuGZ//DAugbPoKKAbVbsccrzjNGZ6nkVuRLpzNgtTGc2S5HWmaRBbXoel+HY2PHHw3X
VEwAM9hafMtNMe0HFaHKbbTyIjcxk4WZRZwz29/x9l9zd9pUwb+u7f/f2ysDvl/fneurvy9dBJBR
36AMNxECQsL7sXNhsWKxb0EyaFC9M8X44+rUf2O0AdEJPySn8ZkD9X16AwIVxavJKoZMlFWS+I9E
9HQDf746UWGvuxuB5c9ioIIX88+1vV7WXcO+fk/qJunvWjIX27Fv9SOTHO/BM1y4JMuysEDwrJM7
JNHXjhTu60oazV2L8ECyABjktirV+BE50niqC3shj3wNYYQxQnTf6FphV8rmobD9cTs4fc7OwygY
aHaju4nttnyU/WId8qrVPrFQHvPNt3zGQpc+TlBiKXd5NduHGejxTRcjV4mHubhZGMzoe8U1+wkx
vX4vdaW5m9ZOC/EeLUWJidwtOiCSRtYEba+p4zm8cRmA2mB0rresg+tVtm+pi97g3oj9NL5guAwR
mOv8tJQaKw8k4+ZnX2+6rzMi7Y+kRXhPvdRQHFaYU8ptH02QiDgGr01bj1OqXuGxFkr7S2+B81pO
KGuAirvTu1X23emnsEcwm/FXHNBOE3Slp75Y8XxR6yp9X/xUvS3wIO4Iu7MOs4Uwwy6k+MysF8D1
OQBSKTT1O3PmgmcPZMc77l7jumNNcvTiWdJDCOPaysvuqptd82D4sfHAYctKPIX8F226yu+3eq3P
LyyPzCRYhEpswu6t8tonV+9pGJfsHoXSNiK5qg1Nz3XRPoh2Y8damQceWU6Biwen3E1Oy7s73XQB
Wdu6qU2PdLOeD8nGteqcKLjBUjAnNCZSpPE2exb78XM7NSSoCZE8zEU/bTtLMPEi7qnd+qpk+yId
V/uQVxqjKGMZX6Tb+292K8WLmaYJKVSV3ZNObuHdgLtk7q3czo5LAzGRwq6Cn5p1zMgsRP+Plk63
SJRXrjG78u27b4GUsligmHc00ZvC7boXXxQeZG2/Y6mfszNv3YlUO60YXzw/0h6+5VTWeG8/+UVn
ACmz/Iemdm3gvJ4v+yAZq0da9YJY16iTDwXB0+nFH6GVBMKll4Xl1le+aCA5Upa0uyY21bPfN87B
sdvp8luMJcJZc4NaZvpEXmsbQr02SeizpqNTCYxi0tS2qh4vwRfIU9ugHvkWbpkXbc8GveLbMZp8
LzAivDkZAF/hqNdqbtwA8ch1xdrqBu4Ggl8UAx6Tw1jFr5qWtm9K5E+iTDrko9OSKdZftN4BfqyV
4ITEeNs2624lZX5xMTDH2lDWtNUBGnxv3UJ4RJHlgkG5d8jEqC/TsdMOrR+1u3IGtvHFixrNCCOy
v0562aAAKDtNLVfTBK2KPDPZPZCo5uY3AxuGVQi7iDtz7mMCw8uxv9IM1Ty6g+y8MJsjsbPwiQUD
Jefz0hq3Qy9bjq3Evu4mekJ8Kcg2NlFCd3sxGxPCLQmvKQL3qJUjS7nZ7WgNJpxq1GC70hqVdrTq
OnaZ7/ktrth14VvaufFiT+0KhGzcwbtT6ybXdvkFd2uayYbafa0N10Wwcd4Jp+t6GHrDgADJLtfN
McKlqA1Mb8gIK+ebqS+NxKwCqRZWpwD3+/3CUuiU+nC1HhbWjM2mtMt3FFDj5xS7yrumdEqxNAUf
ck2xpm1qrAho0qBXFkSmkJBxie6wi7cNx+ueBJmG9Fs5iG4ruwo+eocY8EJw/NqPWjUw3zXFUAVZ
BKE3tKqVmbm4LucHgjemva1PnGwwYBriFiCjdiSFIXP1WzWvx2qlp/zQAvD79ReyDeKTlSTZBrv2
+EElXmoQLGBr1yVRrJct6EMPAA0Zu0EP7/4enX1zcr3Wvhr7ItumnUWG/KC1W/42me0Q17lJaEjC
cMNcsJsF3Jypp2zW7ReREtIA3a1JtoNd9/MmIyX2g9V5xqfJKdb5qVe/Gb3J7KTEJ0VNI1xrazsp
0aZl0bhkq5D594rXxN6wR2Z2RCDcVvB0PkTrRLbUh+bOqlywAx2FYzAJvTuNdMEb6cXqw7+mFrL+
thbafX372r0W/yd8xfrFPx+/dl061N1MCfS/UMU/6iI2VBgi6JfYTlGACudHYQSIGJEK42wwlAK6
tPfHWsv/jVkCCSYWwhOqKXetmb4XRt5vkIFttC3WeSP0z8Qo1qo1+VmLwnoM+65h8V4UWahw/lwW
UTZbsZ9V2w6cCU1MqhzvxmoFuiyvN8Zsx7gxL/a4I93h6NZCe6OXW6JQ6bm9HOY5sj+7isAFfO2D
R0hPks5PDKywZRi2Ky+lbzfDQbYaORW2U/Q7WyHzx5IrhzFmg6xfdWfemVBF8ox6ez7JFYWGDqW+
NWplfUUHlqBNS9m2BMkQW09QXpzb2jW8brcYbMK8+VImpkNaricN8qwnaGhdOClQwh2tQZTeRqOT
Z++jFhvVidRRv+/w9IIbz8J//rH/74xAhFjC+vNvH43T9B8HbD9e+fuGFyqLTbmPogCxBmP233sE
fOx0DPxxwstY8fI4/NwjsA9mym/gv8XQbvwx//fYGLNE4CnxcL/zFxv/aLzm/uVh4DHk61rTfyze
iV3zX3oE1cBnVkm1SWU9fPKQWK4E+ukxQ9jzBK2PgBN76D5WycDy04HtiNIpG4mxoWBtnly9Kx7q
xXTeo7Mv0Tx7FNnEGXcKpnEaqNXEKFY7Y3J2NpIv4I87O0KWvcFdn6zuxxGqZJ5686k5+yOj1Spp
nl2T09lB6Z7dlNPZWakQLTEww26JDR3nJax9nK2YXL7MC+CP0zBmZLH6TesbW922RbSfzLTQQmFG
PUJM/EQnPSWDZJsUlXpXlqrvxSwImo1XBoneGJU4ZIlbPBVYGNWGkdPw4kYeKiqtbOYNAb7RXTQ2
JMxPOtlsO8MS+GGIMh7ScDB09crBB6c2T2MVStgrUMWdSJA/57Q60isNpWvJ+MG+KEVu9tdLNSZu
6DXE/ErVMKu03ep/yDuz5biNdOu+ynkBODAncFuFmqs4iaQo3iAoUsSUmBIznv5fKNndbvfvjtDl
OX3nCLskmgVkfsPea/d0RH2PvYZGcV4PdlXo64Qn6YVAW4cNKqbOh1ggHBYa1URbzAzvI6TN8PPh
h7wXk2ZGgUlGUXRI/N4ix23OyvHBcrQu+aIRFVZgsZRQ1tt4ygNueB+ehchv0qZzX4psKvHMmM65
zdC7SMXX4rWkrYsW1Sgi0No5wwzBYNTH87BNI1k9cKy0eJ3adEs2BHVGRX+DQJnVbBYN/Jhdo6NV
Tr3x3uybdGvojfXNk6V+aBLVn5t6SLdWO2Zg4/R067MSMjZhnyU3ySzTF9urFNp9vf5OB5HeuLmD
QG3k17n1hng4xEMfLWoXJz3MnbLGbd9E1Rj8zBruS6uvti3pSNupzvInZU/dELD0ju+GahKIdnyN
4DZvkoOH+yGv4XD+h9DhQurJ58S6ae8RIZ6uMox6j2bZaxMa7r+mD+u1CMl0j1qRb4bESh77ftY0
xjmsrkgRF3F6catFrJSBP92EAvVQlWC2CIxi1B4a0xu3wJkTzNR59dHmer7n+O4OKsQ5BGNwpvr3
9A16JXsrfMK2rVIkARFc4XZIvf6ZlODxtiDjcydyaODDEAJ0YFf3TfRtuE2B8h5GSOjFqq7R2Vnw
4C+x4/PQDYz4htooH4owtp7YiPk/pgbriImQj6zoLrupJ3rMxi2ad2o5/Vhdw45dbw7CQnO2BqS6
izXYLzXGfZc0PsJ7ezCFU+BYrvsyqCiPvla9G/rHZmZtGmhjZv+ohMpID8V74F1tCKlW1qTFjXnR
XWZk+vMHI5MsfESm703brEqIe58QoZQkcDW4Hfyw9bxN6Dn8s3V1QdRXR4R5dUdEiNhforiYxa0W
LtaJYXFRuOyjWB+oRL53i8uiKvXs5IZuZJykNabZps8Hv1vbJSKvNVoErBrtT9+GdzVxTFdDB3x6
p33IFp+HWhwfydX8UV6NIB4zd3T+oZ8SN1Kah6LTy3cc49oL4Xruxc7j4YlWn0kwU3IEg06pwTfF
l5ffVKYtofDz6uaBmdj2Tdzivll1GSmrtWdM86oaB3JDGDDq8QpT6JQEcsiyS2i1zrzV49QgLS2J
w/8CvRbkMepQ7rW/n/itFREI/3Pd6f/7xuwfn/95oVOmimVIx/iOK/NPMz+QGkt5uiDV2GLBGv1n
aUtMkc8wi8KTV9CyWJj9o7S1f0P4xTqfcCHmhSbX/q/c50wx/rW4xRFmmo6xxHUgAQfHutz3f9Js
6UMy+XaYBWMBhyFIa/JwutIZGYloRska2jLsEadomfE0NZl1AdCkvXJau2y/OjJzVg5uSvyzfvTK
jM9K18j6SR/WEjXjvlViHlf2kEGizrxIVGhW2hj/VDaQupCGJuRhjkZfBZM7tkxs4Dq0ZPuw6Npa
vVu6G1dPqpK9erTuXDdRe7uw5QtVgXnDSId8cODR0S3BFP5bTFL6Cyng3kcVYmlbN5ODyyFWDYlI
U9fxSocmf+3XyKhbh1588f7LFkLlejLJ8DwiTJP9qmAXAXbTobM4QKJnlBUlIiG0zxiGO5/c4wgK
VlNXAfNMQQQQ9p34zs7rAisvrjv/tppTVe2Y4sFoaIEwDkGWjjEsuaGpgzDSGkZrg9dBALEK3zn6
g846HGf/TOgouAtzPcJYAyWGhguv5vL3ebndxGu3roh9E07W2us5ImZ07YlY/26ZnXfoJYGEK1sY
Yxi0En7jBjlB+MGoBQE44h3trAZCzFZ9rdKUdNgWfa4zN/cphzEUbi0jV4Ib1fzGD1nMoDCp16bS
Dj+G2uba01lYJUGFtK6kslgQQ6LQMCF5WeV4JFkMrrPjGOaPwtDVPLdFVX7zal9zNnKKcIhElUZi
XuQPwPBNWqN6O8SkCYF8HNEhoyZJmBxDGHxyvdyyVy3u5JlYba2+CLSpGOrQUUPbZ2c7rFAxIMTt
c9N9rK25VsiQJZspaRckpEAJD9UOfkN6MUXYpntYEwk0lGvQdX0NvYZ/7t+JyiQKG2di7q/na0y2
WQ5zvxaJ1x+pEDGIm9dQba6YlOUaIVHWTr+Gb3Pp1Tx1sDTaA2AM8EUSTBqueZnjqCsaBiA8Q67y
VgiXzROuHARlU1RqqPiScHBXXaXql1/vqv63BcH94WXhOPr7YxaPYfv3cCKbz/48YpE/IeJG+CmE
C66ZCfEfPdMiSbDgMbgO7jdWJDr/5ndJAlmmBl4W6F74fl392mj9Y6+yhE7Q9AvkUiCPOH5/RTO1
KCL+MkCAZQ0baZkewCf6a8/UDJ2FgsXHLEuAV5hxoLGwAyZpAM/ZhKaJfwzzLylm5sTybhIuvrq8
ag5xpA8vCVT2G6uQxr1eV+Z3L+p/DKnGzjc0aStkG1afE6vHbWmkeBmp+gKXAa4GE53JYGNffHbl
gdsbP5C23vdoa88irLo3t3MMjCL19CJmqZOf7nuvWRdi2uoip7qPe/yrWTxrO39IrXOEsmujgyPY
TsRxxcFgDv3Oi6txHXZ6+FLYpYvhgQUJ0kg/p9vLO7AOCxrGHqANxlF9FtVwC36deOZZZRfX6y+k
RaK5Nz6QaTLZa0d7zxlcH/Rqsve88zU16+BtKksf1mw4axAqtXxOWT3cTG6inWefUmsFc1pbqyRb
5pgam4DJ1Q6O0X+QijdSy8e1gzeuci+taMmh60OrO4R2mxwR1lZsMOq3hniHDUDy6kmpc+rHD+Af
7EPIiPGbC07ntRg9QTg2LreWE4MlUCPuvVhD99axrslpdh5HsxWYXJZ6aqy0MQnqCBXu0ICj0Uy9
ODVVmxx6updvRotRhCQSe5N1rp6tsA4ogl619sJgRjnMNFtjUxhSZy/GcgBRBlmk0jxSrlc7vate
+Y9gRBiqAzpuFpuSNICbslHNt1A1XlB3YbtqUDscxzZ/HUuvyVZQsWS+rTRo/Cjzpr0uNL7tqDID
TxniUsI9jDdx7NMjxH1qPaVLAOdiZ2ChwZplVc/ReI6lZ9zLmGpkVVpptc9UbARyzNLnLB7nO1B2
M4t1r7zDOlNswwyzRUiCiMflkovbNLNfrLkF28BiejNpibhxS0S/qlLJUy7S4jTm2nw3pmodRRWd
KSv+/DjONKa1G087hNm3Fafq23/NuWlyjv39ufmt/P7j/zNvXT70+x7a/A37EiYB3B42cBZO0p8Q
YB9KAaouAAYWYi2h/1NialgYDDgnfWzzVLMG+Jo/pq0ouNCcLqxErNTgcOxfU3D9e0kKnIB6eflJ
FpLjXxnANKRF2UrvkAv0CatO9fJ7mSZO0NZSIvB0MA15bgssNsI1vJ1HoQQGH+J8gjkOgd4KYsr8
SMarBHH4w9BVttpluiAqZGbaj2RywrrTOd0zGu5XDoPmzk5w6AxzTgPdci9gUvXQnzDMuUVjhLHX
MuMQe6EY++9VM0VvYVqT4xjroK63nWE7attK3frWhqZTrQpEUhR5VhyZKxTUKF4mmrxjVRJWj5Uq
q4wbdryajnxfaw7ukCtaV8Sx1FYUHQdrqVluOKlw/DutI34URUH0Sep5F646603HjdYE+uS3w15m
LVnsyBzDlFjMRuXrENydCNyyk0hi6u4eFFr1YQgnar+YDcrdVVwR7BW0fZyDwZ2jLN+IyJ7Kxyzz
lsjp0DsgYmrOiY56jM2TtRMV+58eSIy3HmdtpuUvvOS510bJQl6M+YG/wvzedNPAVmpEwr9KByMX
wezqIz41pdxwrcivOdV0vsCQ7bSA4Tq7yHFM4l2GuGsdUvqc+amvZ3fJe+q6rTXBTU6Kxt2R9NJt
miYaNyb+zMCJW29lW1UcJL0xvMK1ZPebYZ0sRXGPzS05mH3v7Hsn0y9xaxTHBGrNcahM9nStOy1B
Sip7lDO0JL9URNR5bnWQIVkFhFnXUIkmg52r+gRWnJ5cn2kbKzoju0TWDGA5NEUEx5JEIWOvRR6K
2UWNp4kThceo7vuqqC3g+hSTNldklI9385w74GLQFU1o8GSGSfQVlatZ0Qtg//zSjzr/XFVz5a0r
zY1eGDGZ1cbkwaHmdZpYf2xyxzpY5HChMrOUvUu5+BKIExqPvc60wN7Mg16JrZ46/dGVcfk+1CJ1
mLgxV11Jf3C/MAYzj40Ze2sZ8Syw7IvtR6WF+XmYLPo0jR3fs9nrfR6gT7ZPpU30lTNY9lMead67
i3z3Nk+m/EE47nQIDae+Iw0CRGkZDdF24envS78f38wowV4YT2YKQxEdJS7zMrG/JqUy39n7D0cx
1fj6ilGtyTBQVSC93t9ahGy9+P6QtxtpD9Xd2HrZkygZicrZLjbYZNgrZ2RZr1RogW0YhCm/I1iC
WzzA3z12VmGBKU1mhnVT0QxvxFlHq8aj+7hLkrSbg4YxyKhScZZJL+ktzFq9RJAqPjxNkGFeZLoR
4/1oJ0RrAKr5esctIPJO7GezNiMaC9ba69xwo09Z2FbBBRVHbzjnavbStiBxRoPacOOqNo3W6TjK
b3PmWtqdga/ozhrLR0vLXKINF2NmZU7OJby6NUOzM+/rq4fTHprSCAbm/s+Rm0wzojKsn51HZ7hG
xzU8ySz2va30E30OrMVOmmDYqXdYWvAz+Q1OVE7ovlnXoC1WOVoxZPZ61jcre3G49nPInJtQtYZe
ONKf88UU++u36f/N3c7vvQpbxP9w5z6y3Pn+9xqw5cO/373Gbz53Lyk1ro1IGqv9Py9fg40fbQwM
OfTT4Iz/0axwLyPKYmjIne04LF64yn9vVlyu8oUPRDYOrlYU1L8EKgbB+pdmBREYEyaU3ctr6157
qT8PhBrmThWdE+PkHokCW5TxzmAf+UC+lfOFgXcTtCPyphVeIt6Jwe7bz7Fq6pUetsaOIzx/UAX7
CYlpYZOULi8WWhN1LLTlz8xn95tp7dwovbXIBzxOliv3imTBYcygHrvVe+d43n2am2s/aV8mJdfu
EO9sA9WAeEqqDIOUJ89aypygqHQ3MBiLPIDI6AOwO5zups+MXeU24FdSqGfe6VPMQOEhkZ76EafY
r9d5pPTvLW94IpS5Q+ZpY80wuktWmDhhu7ggrLCXcYvXP7L7LwB+sktHZf2lzLX8ZiZz5140yuYH
LEjpSL5LGASIVSvIOQnpI2uz642Vzpj5pePOX8SXRomixNfVD88vGcL7Ha7fZqi/OH6LAZ/B4D5m
K8CV5rWoQOXc7h0rk4+ym4stpVJg514Qp7rcJ21tKJIUOfZWY8us19KB3pP33XAxTtXJiMzy7FdG
fNcvmoW5AujhS0s/UougOr2KG4pF56AtigdWRcmXavLDDUP18ZXETycwFo2EWbvIJZi3IZ1AgeME
XcNYKzB/iisWncW4KC4GzsZXhmbJV5A6CDLicoaBZmM5XMB+6DbkVcJhXuUcnSaIIiXhkL3PsCg+
XLerzvRI6aZKm3EvHZTnNffLrl2EIo4mxY6ZjHxSVw1JschJRJ5Ft07WieESOYnxaS3CEwC30Slu
2uqdHDiZEIQizcnfkHnj63fK4GpDN8/eJgBqz7Yp4yDm2akjmiKbKwqA4FUFk3sIR1D2xF2gzEQ4
j32l2QeEhL22M65KmrpdVDX1IrDBBoHWxrvqbvCmo8GJrCjjgF+kObR3qHSiaVHspIt4p19kPCiB
PvWrsie9qnxsVFX3PRV4diqaoniH3W18HU0A1pulYvWPYrFcgwPANTovZmxlon3ntjFY73W29ubZ
DrNL1N9RGFB2TJsS5RUpZsJI8w2Nb497VB8YaNUFK7UtIInmo3cn476zpvydltQ4iUTL7zouv1c/
1GdzQ2yfeI/sNr90Ct+6V3S3fSLEVzq0GdSFOULysu15urX83suDzI4B0jDX/JR9b1dbYbMRSURs
ehQ0TZncCiKIP+puhMxYSy29T+PKADBuzLE4uUPG+motMhWx7ctI9lj1DEr5UvpZoK+QftVtCzRJ
3YnqJh3vmjRWx15qsPtCApdfOwLpHg2/H9otpA6nxIhekEOTtTMplKxPBHaskXb8WNfCRs+srAkS
oS+Je9MQEN1G3tTtmdWGh6YpGKqWhVZbn7nKZPcoe2fGMQGGKgrKlOGqXHl2JYu9lMAnGxzDECly
rSTjsmnzbmtrOlHzsP2SkOwllRpYTQvoZmI0EcZbtQ+LMwnVI4ibuQgq3VFfW3zID6NRSJqZvKX0
dEH8vlO2Ns1aYX6wtiIrfJDCVQ9fjHVwtvMaq9/ODQnsvSXfSwxmp6Q29Rcr9u4LnnDqGHyroipf
QAOfrVm7RDa4kMhm5cMI9GKSx7maDCKbNkWT+sHc6/7OB0cdrhjKaje2IAWvR2e1HfoRqI9fO+G6
k3IYeUes8Iuv+jnwtWzeOVMhH0TfdMfRsT1EdCWE5Nek6eajyYDkGFkd7q5OiuJAbpEqdpIIz83i
D9mBsh2DsZrVBQZce4I7B/WNAIbxpYiAE23zJkz53SvKy3NWFvbaaySEqQyT87rqUw18o8wPBGuY
nOS89vKC7rD+HimLSG6XRfqn5N322JlmzrfGGz4JnCcSRFJa8U209b5OHbFPW7s9wwRrwWtOzh2T
i+l5xFx2giDfnRtsMCrAYjM0O1hqzjKdynPug3AQjKqFIXHlmOOexXaN6WCoDJrRAcNBP9Qa7IRW
yijo9EQ8RDbhGVXEkCXwwLbA4mxj0m4TCtJAcMU8W3bRf6/brt65osMj9+s12f/SybBJXfL3E47b
piv+ffP2R6HGR/8YDOvAaNiWLSHJ2MsMqrCfgw77N51dHCMLQf6yfQUf/HMwvDCH0Nv/MRnmQ/+o
tSANCP6867xjEcv/ymCYPd6/1lqYaWGvusDPYX4Z7A3/oixjRClDC7FVA+/1vg0zpp12ijtedOG+
zeZwE8km3zedECv8NjMg0Mg80yCjlMxSgktH86bCN7qSIQdIDfrj3iIhmCEGSSo+74vwt3T/GqAk
XFMm9vbBiN5ISvLY+EZkFfej+cXO9VeCgCmCQiDuhlWTsiwRD8cZ4RAZU1juDCOwMZkEhRNTiNSE
hmKcmfc6DtKbQnr1ulsA8HOJag0m3fzA5hB0Y9dWt4gVtrWh/cghkByxDI870iaq53DiSApTMpvX
ywJvrYvo0WucjTnH8yEsUrT9KX46PYWVExF5sZ1nw98UZbxJByQLfY/XoJy1Zm9KIzmqZUI5LrPK
8Tq2zJYJZrLMMpPrWLO6jjhxU4lLt8w9jWUCOiyz0HqZitpulecIEVoYC75fvrJ/046uS7vOONwL
SoYX36zRym8ooooN/XRHEcAUdmYcmzZJvZst69j7aloqQma2YaPvrHJmHS/LxgmivuouXTWoczYp
I1v1OPM2VC/GSiVO/02vjeQgK1s/zklhHkwxv8KIYGEfIrc/AfAtMOnFChyBrB+Twb5UcX4fDoO2
KaIy2zH/YVlo9fw9CnfV8g3/qM3eD/xy1A0aV+Nrl8NzdytTsMibzTNusH4vlNEE8eDop7E05dm1
p35fZXG0YVzSfSWZzgGL6Ok7yHuPIhlASjXeYySGfB9lzQNoRclcxFMgEnviP/I5oikYjHV81S6Q
8XTT+ETgdiRPvtoRK70a5wO32isLP2OHTym5VO4QPrPfs+7lwse0bM0IGhSSe7dqe6zVrB94E0lI
xIy9nTs72szeqBC260MwI20ExJW+dSOjMRVq1Qe0Zq7JybXctVHxMA4k/Z60wQ1f0rE+41UfP0Xd
1MeMvKQ1GnDtoHX+dNczbt5P5disoQlxsfKSthuCnfQv18l85qnpJkKldJqZ8SP6JJKKLg3oFGBH
Fn1M+lZCb6k0KqAWMkaK5Lm1dvQGUPsEVoyPrgpVUA4QR+tYOj/cyZcPaTPcJ0M83imKtLUmKntV
jtEXoYmv3BfWTTRM3QP2Mfeh5fjahQ7Bm81CN+U1B3TqisG/4N8YghaZAtUMINRkQaL2THDWWDqM
leFo2mpK5m/lmMw7HOsDzVXCwRLlGgkwhn2XTQhIOj9Ra0UOaqCGEVJWr15SdgY7nXdjFckuO8xc
+VvVzB8ZV7PV80f7InydQu8zk4s2bUG4egvMdUrcYadlsQyqKI7XWjs0jwLEKnlWPIaMkwkmdeZi
j+wIhArZvhtqmIJ9FdOVbGrJEe9nkLFFYd2A32iChOJ2NUMEX01sJgIYqh/2IN6rydH33dBmh8Kc
aQalANDkGudGmz8ZiPGVjA2I/yzDhktDVVTaJ5vDG1+vezZFZgTpcTD6delyoo6Z9jjyZQZ0Is5W
gO7+CB0vvDOyut+XjV4EujWc5jrcYnuHFatZ0baxyHQmrCFf6yaHV5FT8NYzVIGm6Kc1bsNmn5aT
GQxkdfsUXQYcSNrGy7AIDN1J3ZVSfe0WSBXwZdpOPtT68oS8bDqqgig0RnYb4hzjIE/maP1fUw0s
Wte/rwZu3hqmL//Bgbd8/GdFwCCF2QrCGkIQnSWjiBnLz4rA/Q1z+rJ3AJ36+xzlj4rAJ+IGwS28
Kvx3/nVd8ntBgHAdESzqc4t2yzSQ+PxKQWAA4/jLppjYUg4QJD/IeRnqMOb58/AlMZNWc6W96ZKk
WfOaWd87Iy2eBidRd1XX+OcyqhmuwAchCLTXKHfXU9mMFOj6lJibykm5YjWs34csY3jMK4tPtlhB
WAwxLQ/tZB7AtlFx0/4K/ej6MnrplFscRIVRbe81uUuXNJBYeOj9Vvgn9DA0UvLaVBVC0GBZVpgy
7q+1lohdWrAumr3XmTDbiYawokW7dmts9ejc2hJhLk6dpIF7w8TaW8+pII9PIw+oObDYTB7aEnr0
ZkQJz9kpcxD5VT7q69nnxFfKjvZxRzlQ+Hn/ht0fY3MInR5ZvNK32IeiH05v4cyR4JA2PcuVb341
Wt+UWkQ8sdfe8Mc7Mkj4QRnatpnVBXrcJre5rldnLTEGpBy9cWM4XXMzmI7cWF5p7rgVXOIDi+iE
JBd2TpMm0aX0u5KA+EThFc61iv+iM7AhRfRjGyeWw43dVoUAxMMe/iTIfa0hPxvxDbms6jtME4s5
RDFMA5ck/uMyFJUb2J1tnseUq9lFjZ+vTD8GAJw1EP52cbagnLRi8l4jvVSPBOLU+S7JPTLJvWs+
uXKWrPKm9rvPriD9CMmTH2UAcZshCsYSF/0WNbfs9tXU1ZC7E8cq1uk1Gt3g918GMcIIP2CYxRy5
GwlSt2cLz1XTdtGGoDo2P9zciy/BVZ2ZnITShh5PE2pQ5iBG73zHcRYlT1oS448iqnmkMLXDBVhr
Cbu7Cak22RejgqqPiBeJ/SF+mgggg4L4llFg/sHQZ9LwX8PSXCmREh0ULylC9iz0DYhgk1yka8xQ
Jjpl7Dq4BTzMmYfedE1RnKRvcWYsa79rYNFopqTbhoVPmK5vRv49T3Tq3fRmpw13ovUTcQrbuje+
aL3wm21l+Ol/jxDH4iT6+wP29OP7978X4iyf/Xm6ur+BagUnx+6WRBK8yX8crhYiSCQwC4WIY41I
lX9ZLBPbZdBzQWlDhuPSvf1+urJYRpdoLFpZB3ydjhfiF3Q4tHX/erqidQQ0wo/lCE7+f6ff1xWe
oQiqc1hndrtr4SlW66TWive+GZxHh5MXG5jRR8fOr92NrjzKI6sfe7lyyRu6RdphHWXb9M/5oFMv
uV1cR3fGyBl3QaCM4DmC2Giv43kuPgWE1YT6O4WDMcI6TYJWM9T93HvWD6Zl0XHUtWR53lv3QupI
sq/d1KLFECS6ZENHbehYT8wU2xvdGH0q2PE5I3d2B3BHX9uZT51a2c78XvtV/t7GbfkeUk1uO3Q0
u8hqeaHMmv8TQ6Uhw+fEZd8sZqv9Som2rIxp5TBFl1VxrhlksQGc6/HW6xmErLuJ64NBvRkkftij
3uNqQUM3TYhE09ZZopA8/Ed63ES7hYiSrzAnzjekOPtsBSjo4IXXWmaRKz+pL11Wt94NNtb4bUq1
nLF/aT7RqpjPPpBKNHSQgcDzNu65cCL3zO0bbs2cVmOFnB+le62bFxsM0Zst7XaLD7Hb6ALYPmLG
sDQezYJzZBXbumRbnrWG2rl0pZdkIk/FaBh1nROiW84As83HrDGSfU8I4rjh52leQ9FgfGXtspz2
WRY/mQrOxLrie0f0GJNojrq+sHaTboDYtG2yCIAxeO49NnnWmK0yJ0lxXMzg1/KhbM9dXs3npBL2
A0yR+GW6UhcaMnJB3al6egM6gsQ2axt9XU4GTtrxSm5wrxQHbwE6aGlRbeoF8pBceQ/6T/bDlQMx
XpkQ44KHwMa1zOOv1Ij+SpAILWiHQPSIWr8SJvwrbQIyjUuSmQBCYVqF8TSNKMJW9gKpEGjGTp1Y
hqL+ArEoSgnPAsB6dVpsp3gzFt6FWNAXKILQIiULEGNipPJpLZAM+HwpwtuFnNEb5miukblC1DAW
uMaU8N3A+Ae5UUadtberSa5lYenbyi7N16i34k0dhdO3EcbdFhf5dBBQAk5sUsMjUXrM2JzauE1S
pfcrXND2p48keN80hndEK60/WmmZNnSodOFdNHrrnuPlhiHL9F0oEMYkw4Tvde0VbxU+u1MJ3fSr
WzESHbJiP4Zj72xGIcsfmWy0Wxu/Cs08vl9tRUPcPCwRaT33pMqmY6YaPCWla+86wfYX23oHqb/s
3cPk2kZ9YJIcmsFsKTSpoiKGTLMqcI5ugeB5nqQGE0gqZFAgb8l2qxuj+8D9O767tsQuw4B0ZtJd
Wh+Oco2jUdn2Fz9xFrx6jAbOYDQJXqcHxTIRNkggDRYItBAy5aoPY5boymVSI+o44/eH9Tw1KtfA
MhsmuIrhfCSBTvJQsvZZzncrfbTjWyRb7rmUIIPXYYarYDvSTD3LyK9uoznMXnJDyBedOQ9ENNnW
Lyxf4t00TWJXOYl3kKlVXJYonT2ubd0803Br2cqSkeWsdC3DbDUQk0jBaYlsP9S6uzIba7rks+hJ
IzAb44dX5u5D2OOFCaD7pC5yncEq34BY6l9dqlvjoOK0fiTlx1zVk2POTwM6BF6VLGJmtDDdaDtF
1kWvFROx+TKmTt5Cv9Sict9FAuqzXedIp6GRJe94/5skyMfIsj+6se3kMcr6KbsTWud5a9W5HJbg
J6moQ/JIkX9M4yz2Eumxu631OeOpJcyHTG5K0v7kxBb1dsOmJNlFSCxQ5SSJMz55fVp4WL0dUEdo
6GKUd2bYOvfAreVxDuP6OIYa55Fw5xQuHGTSYtsYxddQxym+Ke1M19ZlBsZnY1ZoVTcZicts3oB+
O++6SbWdkTpIThXCx7pHzkDh2ek5z0hiHNshMnI2D/mixy8MRZBh2OUFIs6FRSCbyPPXCdqVu1SD
yrPKiM3ghEuAwq5DiRAoqR2XihQm0QovuJHeGg2jDb5RD4G214+EJ/S+2Z4aOTb3JXMqb6/KMAKh
StWWLsZq49gTaj3DCKeFIhxaWS9V5RTQuLnQBqK3HIQbvRWV/z2z7QXP+PfF1jGJ/mMvy4d/VxLo
v7GMxzaNku8qu6PL/dnLom1msgwHzTYNA9eJ4DO/y57R8TF1dpAfgCKEV+Xxr/5Zbvk2lhJ6XIFd
FGHCr1Rby8D+z6pn8DG6wXYazAwJegQwL6roPzlL0nIZ0w7pocagtEWJT2aMqNgwM35epx65aGs3
KgFAhJ7XB6SVWRnLWb//gBWvlUGY9v4nUzf1oDeDe2MMRbkuOd8Ohcu0iEIvPCy1wVPaDv5NpzdI
iJ3R11fZbMyBkUc3CNYAiQwqHJqTJ/LiLor0Vu4Ua+hpxc1he0S9eNqzdPXJY4Y5TD4SQDffQoID
j9ibmf4KZvFJGX5UrpVq6rc6r5IXjqsW/2kcWsix2ubU+WJGtNeXN4KCq9gUOsauFTLB8Q4CXf/Q
ZQOs+rJJ+w6yQZKiTha2udYKo+R+jXBgbGaui6duXCoZz6q8D5ppbc9BWT0kGMV533sj2jIeLJ8z
o1b6s9FbY7Md29Gzv0yQbN9oKwuyf+rY3FoKPpqJ35z1gKFcezMOXbREiI0avjfHkdNJQa7SVx3Z
f99DMT2LYu5XPnuoZyU4KlaJqBPSQaUVDiDrLDJ1ebGTdWUbORgQ1ZdH3HMRxBDXW7DOjLezAzvE
xLlUvWXfOfZUbLxFveWnlXzKF0VXeBV32YvOi/7V37ojWvYg91h9eIsizGGaeeTGNd/dRS+GM5c8
Bjlin1lZV0lZpOLxjfBhdz9eJWfxoj7r7EzdMVChuHF8tGmLSq246tUW5Vq1aNi4YuylyukIx05Q
fEZJitytXpRvbGztR+oM5HBqUca5qPKO+aKWoyEukW8T7eCwUZyKd2NR1mlOWwroa7x3mxEXhyDA
qkWIly6aPKxIyPPaRannLpo9O62R83eG8aWqsdmiLJiw4a2V7ELzIYpVO511u4lOA8NSiMd9kT2b
rlLGWooW7Cf6UH54PUcIu9K7QnvASRl/ltAx0kA1TMC5DdnnzsUS7Zv7P7JRFOc2lOZbx+/OWmdq
qIfAzCyggx619apny/9ewRe8wSTapRuvVY1JqODogDuOatBA/sTOAWn+uNErGW4oD91sly0uZ57Z
Asy7OZ+7TtRnFJOk8IRyLEh6qeY7miA5r8qIzc+Kciv6NnVa+ZSEc/PMOaRiZOZI6oh+yvaR0fWn
/P+Rd2bLbVxZ1n6VP/o+3TmcnC66IgpAAiDAmeKkmwyKpHOe53z6/g4k2pQsynbT0e0/zKhylUUR
IBLIc/ZZe+1vMfHJh9I3wyPiLZmKwABAFFdT+vExNtPpbhp855q5KuOaz6kgSTd2SrjXbatf+2Tf
2qs4I1IAtF8ZXXR5YK5jQZyqkTnmk+kmLvHfDciQ3ElurUGLr0MdsjIj123z4Nrx2C6i2OrOpqQy
t60tsgtF6621zZ1yhpdOP81ITd7VBVycPgn8LREY2Tm7l3M2Fml8NgRdfpTE2NsZlSp/Zp9XV0nq
CwJ/LP/ejkV/2zWBWNcaPJ1FXw7+BQT+AWmsxw67Z6L249zK+AGD2GmgVBGCPZGuoI2YwDweaVpV
C0HT5bbkpPWYx+W87jj8sEJU47EeDiRhEDHGeEdYxXTtg1y3FuEcmE/jKHTPEnhPFpkw820NN1pb
m6FqXaRBrLDKcu3JNHYHaLa+Iy4SkgI5Tw1O+YyPwfrZTWzjYU6mdKWCULkQDOedUu7QelCsaYiW
lL8dvImCpw0xuO7mriFHAIF+Ay56PE0CJ8P/VIqERnZUpksDrefEaSaHiRDaQMDTIxSnvJvp7gwx
R7CwG8IExGzQbhW/cvewL8x5YWWhsmn7Rt806FVct5mu1DlsRAiwKZDFyyGKcPFOyAznIfYKfZGV
TsDMGXOJGM0ge2vcFvyFwg5w6DANDY89EtxHedkYNcVyN5xqk6WTcYW7/ErxjcFT3Lk+TysRXYyT
FApHo1MMzw3gbq0K9LKntgXvNJMNox23pCFz4nXt0SKomB8Jp1Z9op3qfsHa/+dXXPvmsMU+FuVU
R0ztffOv//r/tHkvyXJvFzhH2Q+iDn7p3ds/CUZTmYNFXAcJg4v+pbqxfoI/oSK6oynBm9U1fuZL
dWMi4h/GY9F50BjNV5xZ8yeNwAS8kgZtQyEl9j9T3mDM/Lq8oVFA88DmV2NEDArCt7C8biR2K3LM
JVMDIPNrsETCdId1GPbOAhuXcUrQenkihqjZFmqvMf/f1+NOqHp4Z/gl5TcnngW6rX4V0EJcT0ng
wZzc6w1B9ovCVdMj343IJWT/XPaEwq/bMEp2qErdOS8vJ7moe+Dgkd+pRJ/sgqzo16hNtlcrtb+N
daMCHmDdFwCbF+So11tiqctbBQbPqu4VbW/ZuX5NblENGMG40TqD8izMKqLe1GzJ+H+97ckEG3HE
p0vViQJ+y9q5r0Vo7juI9yczsbkLo/Qh1hnTmcjoPYd1GOxy8n+P6QEWXs9EqLKoi0rftmGp7C0H
lyjHisbDChojLRjzNndK+6j0Lbxog4DQHavJvaVN4aegM38mVS47C1iQgc8rYbHWtMK56gNnPhVN
EW5sx+dkYSJ/g6MVarMvcwOdZmrwiRGUhzeuKq8ZuuScVgwFcpQlysVsxQhFo4ZJgpH/D7Hugtww
4gs1hJSNkVI5r1NYfb6au9eoGMp6zv3y2Yw5MVJVmuNedzeUbB85DzbN1tQ5ThIHRThmCoyVzIXa
/mhanb4jZLLgJE40EXmCBBAPWsvU6uhDIHNp5BaM6GWzYxyXbGWPggD4W6uq+o3b5vf4x1I4G1ht
F5QSsPIsti1cRnEOektkjwFQJHo/Q+w15jTvADu0F6kedI/qZOdrUaK64Flq176NP5x+wqLKhtPJ
0YlZNIlxcpv41tGbbqO6/vTc6jnmpSp0l00dnarAgBajMy+LoTpO5mCNBRhMWKY0Xm324S63AxeW
XhujtbHv6gQcO3oy/ANSx79Yj8QP+5ReTqn9pm1J/uzngx0p4qxPyOiMsqKIazLL5dcmpWZxeNNw
DFkWY+i/LH02WrkB+4cWJq4ORmER378c7FgVJWGAeS5M5LQWtT+lo+vySV6f7Fj68C4wN26QKKOZ
QhLBXp/sciRdcID1qkKuBleV66d5qM3nwN34dBR4KwJQOrCFkbQvijGOdgPj5ltHi/pjBVCAN/b6
eJIbyIq0yFqpX8BcPqanUF8HglFrO9YHPvsZc07Es2hHHH9YE43E8G/pIFiLoFJEukC6CD7omY5Q
0aeja66yKW73hLZJ+6BojUuFUylyIvp3AYT5EvcNMV+VmB/alGnVvJX0gTAmFXXtF27tLhqAjJdY
41H2GQxdBiPmgl5aMzuYxJxH6KWusIfNR5Mvngso/ziatOiy6yrcHWnuk7s0Fl5QR/ElM114030t
vAomZnyNJFMfg9QYENDU4cL19Ujhtgr8KyVGcUMkc+1rZ7CcDyXr75GjtuZzCLhnk1sGCWEmmK6s
wlBA1W54QLpYbAOzLjZKZkxPFXaYD4NhExHQu83WjiKw0YM/HTWuE92RkGecAPmxb5woLM46W+0m
vKuxc+LAKVpbVW2sIwPeQuWE1ZIUEwvJZtaugTqae4TafD3aUbEhtQD+ciqqcxy0aECV25AqRmZq
ptvK1g+GECM1lsfFkJnhNp/qduX4HKbzCpi6luixR1p7s/XBq620kRHPOS5JwFQnRmSrgMuOgL3K
69FadREP2PuiP2PjbbYzs7ZHs+p2JzRq29UEg/VmgvH4WGi1sWkDTayNJDIfNGNqriOWxn1lZcZN
ovbmzjZ7e5sFXX8EQSrHeuWQkDfAU1hkTVEfhyqRXLqbkLcD8AZYgZvelSlp91HRITZw3dddMZpE
2PTiWBlrcz33SYMwF5XhYupR8R3YqQBkmnRrxiaLMvCMDML2Y1zmxVWo0NtBacibM7sICRmac1e6
hI2aUDsTNaCKKU6bthJ3OoX5tWhCbdtEhetViQWQMY5IIjKmiZ00Yv8tk2RkdkCtlo3pxkC3ycTB
Q9Mcz+ZorEc3CI6a2FL35DeMx06gRhGKb8GhAP7IB6Oo87UCW/dZEjufZhBvjOZqF2Y6drj5+tBd
o+Ukno1R6ryxonIZ2jUM/ZqYXLQBonLwwY67gAbXRa71/ScRtOrKcTMl3tNmtTyHocr1oSj8J9S/
EiH4dv3r/SDqS/7kSy8VuyphmiANbIuZW/WX+tcE6cYf41SRWAOhSznxS/0r02MYwmW6CJyTjfPp
9SbAGy3jYywyFuh+smr/CXlPSKTcN5sAjVS4CWxU0HIcmQX6ehNop9LPi6FfprWe7RBw5pPaHIJh
EQ2IBCqG8OuUdO19NTwqRLWcjjYpJ5Ud0dJHiGOWV09O3JTMRMqvGrtZ5UQlEONGWq/m9n4CKJB4
RmNed0DJeo7/ShQsoh5O+sINoKksYzfT1lGewDEnWGXa1JZVx57QnYFPbBTChS3rodvD36LMtPXm
qmM4xpbzC/ERoGbiTRx0NS8oumlbzE52Xxgm7VV2T3dlOAplskqU+cJJknJVB5N9ZgR5vq8yjH5Z
PU3Qfct+RbMKiTs0kViKWL3yMb7uWZhR3oM5OKYVWaoYM1O6CSxyWw4s7hpCSLogQlA78p1BZdoE
nemWgtmWbpB2LxRDXY6MgYQElUfasytmfx1F/tgeGxE4nRUo7OouRPyHqa25V6Flpu1VNRX4P7om
cj2zcfwdeY8xKZyZLe4UEZKSmVWJe973I0pJD7U5ORu1UfmYO+rE5LBhJfWyGPPgNKe5v2F8lN17
Ftq4CUPbs2czPzUJiOIJUoJxOhLD3YuOaO59ynaxywuTEGfqwGY3M9M5MrGVkNSKAblezuS8MJkx
GDW8VsCBnzR1jq5RzFxjEdjkUNEOnfxm3czIw2qsdUckEql7zcXK50dTSXCWg52xEA3dbjJN2cc4
zphjdROCyPJ6s4iXaVrq0io8bcxm0k/9FpxG5POxyMZxm6v5U5vYRJt1c7ZqitLaRJ0NZSfNnb1o
/PQUv0CaLERpK6BctPkMY/C1XcXH5lzBC86Fta8QJpZVm4EI5DTBS50B1jAyvvETcmh7zT0vplDl
w+lQCJVduC2Y8zzLKYce/AhmJ1NKm7ARFxVDHNsGHCDtTTAdWZZ/1BrWVyUkLc0c2q1fqOVDGgyY
f/WOGhum2qfQYWZTjau1mNrd1F11cWNdRaUPpwYxXKYj0N+ChmdVLk7x1Gf6s+2FdlkpBKZ13Wxc
9ngTN5IbeZmjnZzToHSP5ywNIf/QNT9m1iW8EdCKoVFYvbMFxGSejFqSbwgaf6YzZLRwDaMPtdvo
4B1UsURmIoC+QfUaB/jBNay/pZMm1S5ryK5zrI7+39CbJ8ziEdNEtQiFNzvRA+xVpGSXSwhHKr3P
UD/Xh2TaGipclHoRBlkJAbmnNkDcNY50+L4r5n+jZwLQ8nVgV8aVwMB2l4nKfmSe1f2Qt820GOdJ
nOli+hhk7VEnOJFYJQlGtmjGUyblwQC4feXcK7UzbAJ8ohQ/oH4cU3hB2GyJB/+oQh9fhOMnu2g8
21WClUpZ8bGpy2nNvbZKy+m6VRhVGvwnBp+WeBBmz/TzNFg4XYyVvhiT1dQZ5zVQqcVkF3dYk5gb
Z2bEow5LF4ZVM1dTz8Z5p+U/a1OLl5lajNpT6Y+CtAca2+9JXiuO6xaCfCcjkPBTgdwiV9BQHW/o
jXOCeHYiCp9LRrkxjpIwmjZWAHSkSc5dB9FK7dvTJmmVdZgYzFRGzr5X+tzr7fRqav2jklkXtUlv
UtK1CLggOx1fdOOa00LVagI2ivqe/mYJVsThqFyiHZJ4pcaw4dLpAv8bIBDcVdpMI1LN82UYSguw
Y8P9CxRUNcLAtZQ+BAIC/vmFmFvc+EBolq46aossctdMnH6w82t7bK8StzGXLrAbHN/OVQeqpEuH
tSmqGbb5fD7Vypp5qZ1BX6hLgmvUd1LbfW71mVbjCj6uu1WgRm3oOAa3emYu2mmwnxTb51FdWLjg
+KNlUgq6RnHh1UFvf1SsAVDlEH7s8VmYi6YYi2xBVmGyD+0h2AmoTx52PUX6zX3CfytxEiSEr9Cp
StdsjmKtZFn00BIHsMQFTjx5UaeeP7hiXZq+w27g5qtYCZ1TcPH5Qs8ryBSBNuNs1KFblibpLB3m
PDCS3QmOaRPfTWF7owNj14znq8wHvk2I+zKjdD71U21aGaL2qtnd6pmis3w57SoggtCrUSmwtpAF
hk1hl9cT8ga+wg0DUTib6la/NJQ83tKAJm2s7hIXunkSr+ZqUB+maBoug84xm8UAIUzBMdjPBjVo
rx6ZDQ65BT4Md1mE3GynAbTIe8UnJydoLKa7UjchgcHJzxhqXCkI/MuungTjdW60mfA2bf455d8P
zXTepyKf3nbTSZ3zcwUoKdbAWFSNak6e52Vt+FkGoMwjpQMIL446Gbn+q5sOXjYq5+EPX3LYf1UB
LLxM0ptHhoiB3+7PqQCSvP1NAciQOkIDQoCmoinIAvFVf9ey24lzUr0CgPEzhKthWYPHuwn1UF0z
IRneQKQeyBU1wmNbtx6VIrq2auuEGZptNg4nBl5ZNxfMXZrp7WRUZcL8Qdvhd0nzK9Ae+Za4o/Es
y4lEDnHgKWHrrv3QGTy9ytQlDuKPOIG7FSa+W5qDwSqTINd6dk4AvGdeYpbhMZY8uHF5ptK90tnj
QYkKbuMVPCixnQ32l0zFpxZNYbg2GQ7O6Tm6Ffh8GrHUAo8M9l5PaqWupxH0p+mHkKaSZD6FG9ed
UmkGyzlyof7m1XnWUOQuYxija7ZNw9PisLumSxrsVVdhMkLVIEVM/CYQdkmkQo1bdbZgXqdKB7aK
6cHXjBhyhgmMNi2jda9G2lXa4lIpQEdsGG6SwdV+djSIEoKVbcwbMkTkWG9jHvtdOT+afRl/oocC
ns9MhXOsIol8pEgaub0VZcWcrUnQk2uDVRlyMo7M/gIrFQKNyWzObBX5JRVWQ1x6oW0KqLmt0O+q
yL3AdgyyiyqKORWcecl55igVhAlOkGAxqoUSMdZYJcSNaoxdWrymJjQ+JbIQnA3RrBCQeLDUULZG
nQTkr0UGK16tL6ycCQo1ZwDDyeC+kLBChcuwSEFH/aSb5k9EN34Kk4k0kFo/QpEl3b4aTX6Y4XR2
pHrJHAaLn2WcEQISgelLRkL/BnxQFZNoZolbMrJjFe+dvavDErhHPmWkF0aEgvRKvLZK59lKtJs4
za7m2XyG0KKtlcHGBjfSFSb9d1qBrT72MQiwiSuPTBUcde1wioeg91DJPvZaf1fqg7vHrQfxJMQd
7ePEnDEPMNNXdVuzLsubsQ3ObMwKS98wPg0ivDdb414xsssM3Ac0FIxniRDdljK8XKS6FjIHP9yZ
8MvmIgkx+GfJuiWI9kjXzbvCblRck66/CBgS5qo569ZsPzF8xyiQS/YGLGh1H/Gp3ZddHz0VwtDW
xqD525nZMARdsGdGXFImGHWxrHQ4bUwQMmFndQ7R6Vl8gS3TvRzsrFlXIID5uEzjvRVb+oJOiLZk
WJpqiRC3bqdnlj+tnF53jmtRKGtgEtq0xPA0xPiZQiaABRHtOnmW574J2A2rmLNIo0E/nQ9SXClV
uZnUtqUvlbpKanbYAZDvODm2YO6lqKcdBD4wbsEH4bbIftzwFvPKpX8bdwOO00kqhPVBLCQmbljg
wDM2ptQSyRixmOW18UrFDHRif+ia8aQ2jMBrYrM7FrY8Gkp9EgUvvlCI2yYnU+qXrMUuw01omm7k
aqdTZlprVyocsKEtYoKk7AFSSV2RtM74bqrX2xa/R6HX8d42zIkkau6PbRBFo8dpITrNcod5SRBU
njnGP9fVAEwoKUPy/wIs9z6Da8lwxRoxXDmVO28r1Rc3MAM5TAKH23aia1aZEInX4tLcFW0Q3sVd
K25w1D7+c3ZdNqC3RZfFw/ScNm8DWqRZ/EV4oasIrZH/YhPnk/fLtmv+ZNiIKOBW6EuivrzKWJff
gjLJf9gUJUCY3fKL+i5+4o/4AXiSgPnZMv9c41GC1l7vu3JomHxNIC00BzQbn9fX+66dNrqIO7YT
PDTOMfRGsKqOkvERmbg5Lc93nR57NDCTaDt3U/vBOCSjpuok5gU9rHhaBzkp0y1BTbeKDFRFgkDH
aZRu40Qyb1WziF7NtEljvpTDr76IInn7pDKolQlEKGJxzXnaE+Sfb3AhJ+ZleUh4xf3eqh4jPt21
6ImAnQ9psB2wTetuGJ0K5BhW8dqbZXhs7lrFcXVIlNVkuKxdwcTErCgzZ8dD/iziZ4kfCRrGA9YR
B6PpFPUwzmzc1t7cFvSnqra6VrqiGaCu1sCzFJndmBEvC0t4Kj8whiJDZPxxZm8nhqbZDVlowAhx
3PBhqPKQJp1a9U9ZURKja+mtwTlejfu7tHHrx7w12N7HsNCvCBzQaNeyzfmeMAwKkoDYrH6hI1wP
uMdd9+cwqbNTm2HLZz0cz0JSEmJPt7JYR7BqWZj8vmmZek4M44Z9XpeSyQyx36wxKhBLpITXzCYg
YU1a3Vd7vXOD5jgPTWddV3QK7+qizJhd7sNe90xA+R52BlV5oP2sPfJuMN05iTFqt71Q7pOgrrdT
esxE66A1vQ+dfwxX/5yVgpvzRytF9xj+oD7nhz8vFJqGlZJWG3gBpvXYEmCGv/gvbbZuUobp4KkM
FL6K6tZAL+qS5mrQrBNk23B7f1koIIW7ZO/BHbDwc7LO/DmOonyS1wsFfUDUY1wKHB6EIWjWfb1Q
pNEkEJaHjWPkFfO8s5rfwcIQ10FjM06BefISwcI0tkbZh0cjhsUZz4JW+yvXULuPEMIac5cljo2r
dwKucjQN+MogOI+tvimTWi22Y0DOxcapG74baXiGsDAIvfN6kK5LkmU6/FSWirmOosDvd3z+odI0
sw51kK6M2yzjxp28mIF3f4U4Cs8mlGgbpEeV0kTybpLIrWlPMxC2GcSo6VtRtDrZU2ZRLCw/GqzV
hH3UR9o0XExHON2VTeUGVuD5RqMzJe4QucGp2x0+drVLjNicDoised17HT06YKzuFBpeU1ajs5X4
gCNcRfMAV8fHd+FWQCE/4MCzIJeHM+tXbw9WD3uwgzbgm5zE8Yr7ODIzu2YIBNr4Brr4tLEG3NZL
0AYt0pRZw1Qk623XlhXh3TiFyh3CKZMG9OqP7TqaKL9CfxQeYL3xdtKxWnoiUo2rOBtiixiFloS+
uNWMe1fAOfRyv6f+6yHv7s1YM8/VBBv+eSK5c1OQUGTbzCsxNyQ6HFcuw5CLSPLqzLBCGiVuvH9Q
54qILVWX49cUUIDufMm8UyT9bpAcvOKAxHMPeLzCaPynWYeZl33G50mSXgtSb+pCZrPbA2hPk8w9
hvXA75FMNtCaklA+4O4A+hjDtmkAQO1TLLtBRUDGrVYZua1cowZDaXXwls4Hn2lKPs4SABnJc/HB
idoPnVwsrXlWiK1wO3VB/zCZ9lJ5IvocEGCLQiOtrr6B92shpAN2lE41z5os98JCRHxwo8YSV2Y1
Dc1azYNSvQH9V9zg3wjWWHkx2QbYS84N8Ae7pLTsJ4aiGMicpDPXOph041ErI08czLvlUMVHMHRo
4nVcI/w60ukLAwvgo22if+Y9EXOs/riCrSaa7mLLwjSc67JidxlzJA83uqsOnuKDvbgsTGD12sF5
XESy6XrwIyeW9CYTjaPctFloOV51cC8TW4+TGXdOft4f/M35wetMLEm7EdIErRdzC93DTt1TstT1
a7vu/aNCGqeHIrSOMPgVywSb4WkvqvpSkVbrXHH9YqWKls0QDY0eirRlmweHdnRwa5tz7J/EMmij
dQxz5ThByZIw1Qxb4YBzpBcOvXWwjiAzYZFTD3a5TjrniEcUT/7BTteSZiu86WCzq4aw3OGWfArH
7LSODGMf0E/xdOnL0w8WPUe69WwSsetVDi4KM2xdFshpB3OffjD6FdLzh0yP/S/Df33DoqzRJ9Ab
4uoOVsFMugbFwUCItUlRzkxCNedlQHJHfGUMZnibuLUqIyJ1seauGEJERKU3j0ze+1s1alFZ9aZ1
T/u6wfKTCJAH3TCldBtSxN3YmJ/LoTbrjRqp6s+cM5XLebDyYwVXIdlIKSbFFTPY5Z0/xwErQWrl
JBfRml5W4WSxnoaDzqC2PanRhogXfAdN2myVMdyW3EjWUnGVsqIDRUN3iWnT3RZBqDw79Vwri6Bt
62tTDysvTSL/dmq58T8oPEDHNY+IHHMh3nV7sow6sbDCAI1fZCbu1WByd6OS8ylmhkwvvCwLsE6F
dscUmZ5M1bAeqgwdUxgFQzCRYg/q0k2bqmL6F8gcbl1t3oVz0V2HqqgUT0zOgIQ/hGq8+MeUGXJr
f7vM+Pen6O3TiPzRz0UGXiB2WIDMGr1bZjZMzDYvIiCuNoHMYJP2ousu2OWXNrD1k5z8MDmnwBBw
KTR+LTIg4tNLxlKEfugIXdqE/kQbGA7Ct0WGzRHE5Hdg3pd0EeMbLxCfjzhEx1uS7mEf4Vj/EBm2
RYZslJPpKN3fneme64XSL8cpge5iZbaXaTmjaR2eyLZru6ViEYCJJwZdCC7YBV1OFtAJXtw8E3HF
vUKAo5Vv47iP1iTvTOtqiNaZ0babqgxPayO/Iwk2WAQAMle+gudCm+1Hk6u2bbuIEVXCK8KK/KjR
T/STqUWY99vsUiixflFgG8ynShzhuIlPiLNQ10GMSYO7fKuyNQxDuifqAm6zQutYvgp1ZvIssXdT
tINkEO4py7dIUNoxmsCKg8FTA+n31kzjdYM+Qv0CRNNRzP1s+upSj/Ad0v+Z145ar1GP7uehBkJX
bXD1lwvMOAG+k/nJj+lCuZnY4QpVFzlakZcRCnvbpWp2n4STc6/pAdO3tsvsLHUaTZdobZgVGYPp
EJ2EIpp5mmRtGTMUd1WtwRb16joyxQVGwIIdMGbIpL4FFzBsO7e5ALYX0cMAJcjsw7bD7+4JFwBJ
gK44Kd5cCq5JIp7o8t6MzDI8RwrNWSNn4ERppwtjBoOUclTkCEXnVsvFk6qP8QXzPrqH0uuuYFIW
i4p+Pr4Wek56UdekdomMkmOanlSMJR8dURfrTquGe7MMWPFaFcy12YIFqknLrdgc97ml3VeaYN4P
ZWyidtNY9vXEOsEc8BRLvZk8e7KuuqY6HTk2LewgfXInET3J/xMFZDxXdt5jQ6+ro1Fp4mMX6CDT
zWTfPE3VFH2c1Tg/JohZX0j+w8YKS3dV2HXBLM+UL+Ykwk4bohevEqm/EMkS3nVSk0HJJgFK6jSW
VGyE1G5qqeK4Us/RpLID3Hq4YswJuSc9SD9EmSEDWQhCiTu3Xi41IleqRSIqwF1LBQlj25wsA12N
9yOc/VoqTZjulItG2nF8acypCtipvALsOuoI/lyJyvG8JwPCU6Wtxzo4fFK8Pqo0/XTS/lN0+qcg
YcRB4yJ/GmrMsXZL4snCTfTEc5Vc36acery66Mp1NMyK10gDbyWtvN3B1csexKYhrb6aVQa7oodS
WeED1qUheJLWYMx47knO/MZeIQ3lfpYWYhAlmr7spbm49jnIhxYDk6UDGCJNOFYX4xX5dvWaUDv9
upImZV/alVNpXNalhTkoObrHlMHSAQD/KvG3to7lmfY75meN+6XuzezOiRpYIS0NbELFzqFcxTt6
FfW67ptyKW3Qq8Fq0qMMQSBA7+bS4r0uig7LLGOaVz5j8Hi1UnNZYPS6U40I27bhs7MFtlVvTaEX
J2BSjFMYmuM67wf8IgxZeUaJHKPOrXZZ88i7LhyStaao8ZEWVATN2uZwkgWq5Ykk4gZQlWavcTD7
kEXyTg676d5wUv2mrtvibuhBy1Zj3uNSbq151estuk6iT+vB0UiryPiHqY1PjjWOG/Cq7koTjXak
NIZ+N1tKcxynU71jeNt5rJFBlo6qdRSeodfm9lp000prurspzx7BxUwLwu5u1N7dG3FwGrAWmv5j
OF2MSbIo0Xa4/u0HXfQPonbsJeQCMNf6Iu7CbKn3teWZen4J58jaMzt3qo3589wV/cIeumg1tzkp
SoUq1kWp1I9GX/yNnMJffGqrh/bBOyTXXnTP9XT53HQgHl62TPnd8yLK2w/F/+wv/fiBvmTmfpjK
5//6j4cnsutXUdPW0WNLefCbON1vI8sOv9jht/7R46QPbdR2TzyBiTJBYxD1U8IP+UJZTIs8+PJt
4B7MtmmW5B8evtBFKW9eXae3rsSPX+TnS/rjv/PVC3gsuryVb0UQFflXF8L+tvH6xiX45hF+vQTg
oXhp1DIsb4cvHvDVJaAY4wvE9Mu3/68uwZufBaZi6Be/95Ng/aQzX6cxOiBfL1884KvLACrLNPA8
YPr9/PW3uwwaTSBykwDGfF2Bv/F5+OZy/vp5sH8yTBCiTEN/vg7fXAiHdGpbpz7/3Hr4378VvvnF
f7MmGPg/vzqC/NkLAF1et5hG0A5AVHkRvvokGD+ZiItMYr18+297Id57S0jdFpKsQy/n8xcHnVe3
hA1XTgWX9cva+fmT9zf6REjnBwlk7/w8cBlY/Q4x0q9fvkwHkhN5hjyPHr7+j/aGN28IcrNNV3bl
3nU7QKQCAmjKJPpv3n6Hsy/9d3p/f8/X/2VFlOCt910BjWxSGREllYBXN4CDJcliR5D9i8PX55Xn
b3UDHBbrd75+9j7bcfAPvLzOr4skQGfoNHR3cGYdvj5rQH+vy2Aa9nvXAYcKgenaAz/z1aeA/cDC
+IS49He7/798/vX3fv7Rz6iB6ed/eX9Vap9XF4DkXksVDAa/fP9v9/6/XIj3VgbsBCq7HRrjt1eA
+ROaakiMn7/+xE74B26TX45eyzBKnw6Hrui5+d7Z7K2/8HLS+O33X5+pOEp89RflGezzc38usuS/
/+ur3eZwEnr1zZeT0eF5vvz4lxf426f+6rleXtXLH26j5/qh5tB9+Mb05dc8fcg4tJ1N3xmmp+H8
+R7/9df5zfnxl13gh48Oz+K3A6s8vCx7X45e3z2e/qGH3w9we7/3+DIWmyXkvb/+/uGpy7//BJ+L
gfc+wZJZnj8QBH44qv/PLxM52fl33+UvFd17X8W/84fs0/feiF9Ok+99ho8P2c/ffatfrUbvfY4f
pV6+8w34I+Fe73yKqyIp2u+8yS8XiPPLey/QIa+++e3t9vIULNTvfYpzjs7PD2/PuP8Vi8bvZ3+8
8604y38woGlQOb33Kp1GwXP95vsgW2jvfoY/RER/53U6fgiKtz9OUnp478vYF8HbRiyZ8v3uJ/h9
sPE7L9KemaDoe3vQl7vO+Atu7P3D97aHlyf4C27rP4IkfOd1+l0o0Dsff1Nkn57fvOfEX3BXr5+f
KNPS/7d8KKOW//3wXNdRW9TTy8f06Om//uPLmyKRGe/97P4Bmsg7r5mXRO3b95+ke7/7NfxgpT2M
wr/3FfyBWat3PsXqOW2/U2K+vNF/we29eM67H3x0/4L7+w+Z4995nRYPv2+rfedT/DshA+ToU5G9
eZ+bf8F9/u+nh+xHgFbp0HnvffH75qAfXqrvHTN/6dT99vD50oH73o99fbKWf+MxfX6o//XfAAAA
//8=</cx:binary>
              </cx:geoCache>
            </cx:geography>
          </cx:layoutPr>
        </cx:series>
      </cx:plotAreaRegion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6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496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>
            <a:lumMod val="65000"/>
            <a:lumOff val="35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163469</xdr:colOff>
      <xdr:row>3</xdr:row>
      <xdr:rowOff>51487</xdr:rowOff>
    </xdr:from>
    <xdr:to>
      <xdr:col>32</xdr:col>
      <xdr:colOff>193777</xdr:colOff>
      <xdr:row>48</xdr:row>
      <xdr:rowOff>59281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3B745182-8DBE-BAB8-289D-8D62FA7E4070}"/>
            </a:ext>
          </a:extLst>
        </xdr:cNvPr>
        <xdr:cNvGrpSpPr/>
      </xdr:nvGrpSpPr>
      <xdr:grpSpPr>
        <a:xfrm>
          <a:off x="2024167" y="649568"/>
          <a:ext cx="18017052" cy="8979015"/>
          <a:chOff x="1141712" y="369929"/>
          <a:chExt cx="17947605" cy="8116916"/>
        </a:xfrm>
      </xdr:grpSpPr>
      <xdr:sp macro="" textlink="">
        <xdr:nvSpPr>
          <xdr:cNvPr id="2" name="Rectangle: Rounded Corners 1">
            <a:extLst>
              <a:ext uri="{FF2B5EF4-FFF2-40B4-BE49-F238E27FC236}">
                <a16:creationId xmlns:a16="http://schemas.microsoft.com/office/drawing/2014/main" id="{90364FCD-B60B-6E20-914E-5929EDA46EC0}"/>
              </a:ext>
            </a:extLst>
          </xdr:cNvPr>
          <xdr:cNvSpPr/>
        </xdr:nvSpPr>
        <xdr:spPr>
          <a:xfrm>
            <a:off x="1141712" y="369929"/>
            <a:ext cx="17947605" cy="8116916"/>
          </a:xfrm>
          <a:prstGeom prst="roundRect">
            <a:avLst>
              <a:gd name="adj" fmla="val 5338"/>
            </a:avLst>
          </a:prstGeom>
          <a:gradFill flip="none" rotWithShape="1">
            <a:gsLst>
              <a:gs pos="0">
                <a:srgbClr val="1B7339"/>
              </a:gs>
              <a:gs pos="63000">
                <a:srgbClr val="1B7339"/>
              </a:gs>
              <a:gs pos="65500">
                <a:srgbClr val="1B7339"/>
              </a:gs>
              <a:gs pos="65000">
                <a:srgbClr val="8DB99C">
                  <a:lumMod val="21000"/>
                </a:srgbClr>
              </a:gs>
              <a:gs pos="58000">
                <a:schemeClr val="bg1"/>
              </a:gs>
              <a:gs pos="55000">
                <a:srgbClr val="1B7339"/>
              </a:gs>
              <a:gs pos="100000">
                <a:srgbClr val="1B7339"/>
              </a:gs>
            </a:gsLst>
            <a:lin ang="5400000" scaled="1"/>
            <a:tileRect/>
          </a:gra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A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0B4B140D-0C16-4ECE-042D-E44B70839BC6}"/>
              </a:ext>
            </a:extLst>
          </xdr:cNvPr>
          <xdr:cNvSpPr/>
        </xdr:nvSpPr>
        <xdr:spPr>
          <a:xfrm>
            <a:off x="9450494" y="577768"/>
            <a:ext cx="1992057" cy="1055960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7AA6225-9149-4379-BC98-8284299B207E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1802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0" name="Rectangle: Rounded Corners 9">
            <a:extLst>
              <a:ext uri="{FF2B5EF4-FFF2-40B4-BE49-F238E27FC236}">
                <a16:creationId xmlns:a16="http://schemas.microsoft.com/office/drawing/2014/main" id="{EF665525-40FF-4620-82F6-7A025C63F771}"/>
              </a:ext>
            </a:extLst>
          </xdr:cNvPr>
          <xdr:cNvSpPr/>
        </xdr:nvSpPr>
        <xdr:spPr>
          <a:xfrm>
            <a:off x="9891034" y="1804193"/>
            <a:ext cx="8224701" cy="3230709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I">
        <xdr:nvSpPr>
          <xdr:cNvPr id="11" name="Rectangle: Rounded Corners 10">
            <a:extLst>
              <a:ext uri="{FF2B5EF4-FFF2-40B4-BE49-F238E27FC236}">
                <a16:creationId xmlns:a16="http://schemas.microsoft.com/office/drawing/2014/main" id="{AE240C3E-C727-40D8-BDDF-FF8D0C5BD388}"/>
              </a:ext>
            </a:extLst>
          </xdr:cNvPr>
          <xdr:cNvSpPr/>
        </xdr:nvSpPr>
        <xdr:spPr>
          <a:xfrm>
            <a:off x="5209116" y="611107"/>
            <a:ext cx="1992058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3198C55-8AF2-456E-852D-2951BE253126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200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V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FEBE9782-38FE-4E36-9500-8A5DC04E9E42}"/>
              </a:ext>
            </a:extLst>
          </xdr:cNvPr>
          <xdr:cNvSpPr/>
        </xdr:nvSpPr>
        <xdr:spPr>
          <a:xfrm>
            <a:off x="7322545" y="595376"/>
            <a:ext cx="1994741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4BA936C-5D09-4A85-8A7B-782892E22592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4134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U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673CBCE6-87B0-4C06-BA7D-DFF81F72081F}"/>
              </a:ext>
            </a:extLst>
          </xdr:cNvPr>
          <xdr:cNvSpPr/>
        </xdr:nvSpPr>
        <xdr:spPr>
          <a:xfrm>
            <a:off x="13660694" y="611758"/>
            <a:ext cx="1992059" cy="1063898"/>
          </a:xfrm>
          <a:prstGeom prst="roundRect">
            <a:avLst>
              <a:gd name="adj" fmla="val 8974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3AB0CEC9-4F6C-4618-B0B4-9E641BC58D75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1148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D">
        <xdr:nvSpPr>
          <xdr:cNvPr id="14" name="Rectangle: Rounded Corners 13">
            <a:extLst>
              <a:ext uri="{FF2B5EF4-FFF2-40B4-BE49-F238E27FC236}">
                <a16:creationId xmlns:a16="http://schemas.microsoft.com/office/drawing/2014/main" id="{D748A61D-05C9-4EA9-BC21-6C26D0F05A9D}"/>
              </a:ext>
            </a:extLst>
          </xdr:cNvPr>
          <xdr:cNvSpPr/>
        </xdr:nvSpPr>
        <xdr:spPr>
          <a:xfrm>
            <a:off x="11554612" y="576182"/>
            <a:ext cx="2001080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DE2A8C3-D813-4340-81E9-B4CA2168DA69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1184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D1242BA6-1686-5739-56A8-9BDC7C9E5C9A}"/>
              </a:ext>
            </a:extLst>
          </xdr:cNvPr>
          <xdr:cNvSpPr txBox="1"/>
        </xdr:nvSpPr>
        <xdr:spPr>
          <a:xfrm>
            <a:off x="1651313" y="772766"/>
            <a:ext cx="3291390" cy="467200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rgbClr val="008B2C"/>
                </a:solidFill>
              </a:rPr>
              <a:t>NIGERIA</a:t>
            </a:r>
            <a:r>
              <a:rPr lang="en-US" sz="1200" b="1">
                <a:solidFill>
                  <a:srgbClr val="008B2C"/>
                </a:solidFill>
              </a:rPr>
              <a:t> </a:t>
            </a:r>
            <a:r>
              <a:rPr lang="en-US" sz="2400" b="1">
                <a:solidFill>
                  <a:srgbClr val="008B2C"/>
                </a:solidFill>
              </a:rPr>
              <a:t>KIDNAPPING</a:t>
            </a:r>
            <a:endParaRPr lang="en-US" sz="1200" b="1">
              <a:solidFill>
                <a:srgbClr val="008B2C"/>
              </a:solidFill>
            </a:endParaRPr>
          </a:p>
        </xdr:txBody>
      </xdr:sp>
      <xdr:sp macro="" textlink="">
        <xdr:nvSpPr>
          <xdr:cNvPr id="16" name="Rectangle: Rounded Corners 15">
            <a:extLst>
              <a:ext uri="{FF2B5EF4-FFF2-40B4-BE49-F238E27FC236}">
                <a16:creationId xmlns:a16="http://schemas.microsoft.com/office/drawing/2014/main" id="{7C9446AF-83F3-47C2-B09E-22C977321AF6}"/>
              </a:ext>
            </a:extLst>
          </xdr:cNvPr>
          <xdr:cNvSpPr/>
        </xdr:nvSpPr>
        <xdr:spPr>
          <a:xfrm>
            <a:off x="9859994" y="5160916"/>
            <a:ext cx="8275584" cy="3212474"/>
          </a:xfrm>
          <a:prstGeom prst="roundRect">
            <a:avLst>
              <a:gd name="adj" fmla="val 545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B21A272A-8E5C-4890-8ECA-F878A2BDF1DA}"/>
              </a:ext>
            </a:extLst>
          </xdr:cNvPr>
          <xdr:cNvSpPr/>
        </xdr:nvSpPr>
        <xdr:spPr>
          <a:xfrm>
            <a:off x="1749233" y="5127868"/>
            <a:ext cx="7855678" cy="3212474"/>
          </a:xfrm>
          <a:prstGeom prst="roundRect">
            <a:avLst>
              <a:gd name="adj" fmla="val 6579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2718C0A5-60CD-4E71-9C0D-81CF2E7F528C}"/>
              </a:ext>
            </a:extLst>
          </xdr:cNvPr>
          <xdr:cNvSpPr/>
        </xdr:nvSpPr>
        <xdr:spPr>
          <a:xfrm>
            <a:off x="1656654" y="1802294"/>
            <a:ext cx="7987946" cy="3212475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mc:AlternateContent xmlns:mc="http://schemas.openxmlformats.org/markup-compatibility/2006">
        <mc:Choice xmlns:cx4="http://schemas.microsoft.com/office/drawing/2016/5/10/chartex" Requires="cx4">
          <xdr:graphicFrame macro="">
            <xdr:nvGraphicFramePr>
              <xdr:cNvPr id="19" name="Chart 18">
                <a:extLst>
                  <a:ext uri="{FF2B5EF4-FFF2-40B4-BE49-F238E27FC236}">
                    <a16:creationId xmlns:a16="http://schemas.microsoft.com/office/drawing/2014/main" id="{45524498-1B11-47C4-8765-022FDAD56D0E}"/>
                  </a:ext>
                </a:extLst>
              </xdr:cNvPr>
              <xdr:cNvGraphicFramePr/>
            </xdr:nvGraphicFramePr>
            <xdr:xfrm>
              <a:off x="10145179" y="2570464"/>
              <a:ext cx="7709906" cy="2453759"/>
            </xdr:xfrm>
            <a:graphic>
              <a:graphicData uri="http://schemas.microsoft.com/office/drawing/2014/chartex">
                <cx:chart xmlns:cx="http://schemas.microsoft.com/office/drawing/2014/chartex" xmlns:r="http://schemas.openxmlformats.org/officeDocument/2006/relationships" r:id="rId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145179" y="2570464"/>
                <a:ext cx="7709906" cy="245375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n-US" sz="1100"/>
                  <a:t>This chart isn't available in your version of Excel.
Editing this shape or saving this workbook into a different file format will permanently break the chart.</a:t>
                </a:r>
              </a:p>
            </xdr:txBody>
          </xdr:sp>
        </mc:Fallback>
      </mc:AlternateContent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2CCCFD55-141A-4EFB-B0B1-46D0A5ED038C}"/>
              </a:ext>
            </a:extLst>
          </xdr:cNvPr>
          <xdr:cNvGraphicFramePr>
            <a:graphicFrameLocks/>
          </xdr:cNvGraphicFramePr>
        </xdr:nvGraphicFramePr>
        <xdr:xfrm>
          <a:off x="2245720" y="2342635"/>
          <a:ext cx="7331410" cy="26180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F178F42E-6159-8549-3D82-364FB59C7CDB}"/>
              </a:ext>
            </a:extLst>
          </xdr:cNvPr>
          <xdr:cNvSpPr txBox="1"/>
        </xdr:nvSpPr>
        <xdr:spPr>
          <a:xfrm>
            <a:off x="5173613" y="656062"/>
            <a:ext cx="2171012" cy="5117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Incidents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1567D0F7-14AC-4A2F-BE1B-44DF33D637C9}"/>
              </a:ext>
            </a:extLst>
          </xdr:cNvPr>
          <xdr:cNvSpPr txBox="1"/>
        </xdr:nvSpPr>
        <xdr:spPr>
          <a:xfrm>
            <a:off x="6446233" y="455077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Victims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81E107C0-415F-4498-A594-5CC2B60D2827}"/>
              </a:ext>
            </a:extLst>
          </xdr:cNvPr>
          <xdr:cNvSpPr txBox="1"/>
        </xdr:nvSpPr>
        <xdr:spPr>
          <a:xfrm>
            <a:off x="8538736" y="434296"/>
            <a:ext cx="3834184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Living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5E12A1B9-C066-4DF1-B740-517E26B0B467}"/>
              </a:ext>
            </a:extLst>
          </xdr:cNvPr>
          <xdr:cNvSpPr txBox="1"/>
        </xdr:nvSpPr>
        <xdr:spPr>
          <a:xfrm>
            <a:off x="13053446" y="616341"/>
            <a:ext cx="3295856" cy="61933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Unknown</a:t>
            </a: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CFCF182C-2E92-4DC4-AEC2-CD942F3DE798}"/>
              </a:ext>
            </a:extLst>
          </xdr:cNvPr>
          <xdr:cNvSpPr txBox="1"/>
        </xdr:nvSpPr>
        <xdr:spPr>
          <a:xfrm>
            <a:off x="10647902" y="430958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Dead</a:t>
            </a:r>
          </a:p>
        </xdr:txBody>
      </xdr:sp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A7F0F9DC-5FE4-4A44-9E14-D5F3EBCAA87F}"/>
              </a:ext>
            </a:extLst>
          </xdr:cNvPr>
          <xdr:cNvGraphicFramePr>
            <a:graphicFrameLocks/>
          </xdr:cNvGraphicFramePr>
        </xdr:nvGraphicFramePr>
        <xdr:xfrm>
          <a:off x="10087450" y="5586284"/>
          <a:ext cx="7414055" cy="27319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FDB05E44-8627-FD44-CBEE-E1A7CA51AF67}"/>
              </a:ext>
            </a:extLst>
          </xdr:cNvPr>
          <xdr:cNvSpPr txBox="1"/>
        </xdr:nvSpPr>
        <xdr:spPr>
          <a:xfrm>
            <a:off x="1807174" y="1717074"/>
            <a:ext cx="5797379" cy="6120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Outcome by Response Time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6DA98F54-DC94-495F-884C-EA87CBD63243}"/>
              </a:ext>
            </a:extLst>
          </xdr:cNvPr>
          <xdr:cNvSpPr txBox="1"/>
        </xdr:nvSpPr>
        <xdr:spPr>
          <a:xfrm>
            <a:off x="1769074" y="2186244"/>
            <a:ext cx="6786692" cy="4413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were the outcome of the victims based on response time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93F56876-3F71-41CA-A3F5-B95D5E5E976D}"/>
              </a:ext>
            </a:extLst>
          </xdr:cNvPr>
          <xdr:cNvSpPr txBox="1"/>
        </xdr:nvSpPr>
        <xdr:spPr>
          <a:xfrm>
            <a:off x="9966366" y="1825839"/>
            <a:ext cx="5798667" cy="44136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Number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of Incidents by State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2EE799D-51C8-46FE-8C05-25E00584578F}"/>
              </a:ext>
            </a:extLst>
          </xdr:cNvPr>
          <xdr:cNvSpPr txBox="1"/>
        </xdr:nvSpPr>
        <xdr:spPr>
          <a:xfrm>
            <a:off x="9928266" y="2257682"/>
            <a:ext cx="6786693" cy="30801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state had to highest number of incidents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graphicFrame macro="">
        <xdr:nvGraphicFramePr>
          <xdr:cNvPr id="27" name="Chart 26">
            <a:extLst>
              <a:ext uri="{FF2B5EF4-FFF2-40B4-BE49-F238E27FC236}">
                <a16:creationId xmlns:a16="http://schemas.microsoft.com/office/drawing/2014/main" id="{26184FAF-D970-45C2-A6BE-0E462286B552}"/>
              </a:ext>
            </a:extLst>
          </xdr:cNvPr>
          <xdr:cNvGraphicFramePr>
            <a:graphicFrameLocks/>
          </xdr:cNvGraphicFramePr>
        </xdr:nvGraphicFramePr>
        <xdr:xfrm>
          <a:off x="2471351" y="5612998"/>
          <a:ext cx="6344031" cy="256038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D17A6F5B-AF2F-495A-9425-335BFBC740A3}"/>
              </a:ext>
            </a:extLst>
          </xdr:cNvPr>
          <xdr:cNvSpPr txBox="1"/>
        </xdr:nvSpPr>
        <xdr:spPr>
          <a:xfrm>
            <a:off x="1961739" y="5207420"/>
            <a:ext cx="7147365" cy="33279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Average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Ransom Demanded and Paid by Region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4BE616CE-57A6-4BB1-AD1F-DB1A0BDAC94A}"/>
              </a:ext>
            </a:extLst>
          </xdr:cNvPr>
          <xdr:cNvSpPr txBox="1"/>
        </xdr:nvSpPr>
        <xdr:spPr>
          <a:xfrm>
            <a:off x="1941960" y="5531883"/>
            <a:ext cx="6786692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does the ransom gap look like in each region?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A74FD99E-8CFA-497E-BA9C-8FAF4F3E9A4E}"/>
              </a:ext>
            </a:extLst>
          </xdr:cNvPr>
          <xdr:cNvSpPr txBox="1"/>
        </xdr:nvSpPr>
        <xdr:spPr>
          <a:xfrm>
            <a:off x="10008533" y="5225393"/>
            <a:ext cx="7147366" cy="34243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Survival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Flag by Region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3EC49998-D56D-4346-BFDE-7A1CB05D6DDC}"/>
              </a:ext>
            </a:extLst>
          </xdr:cNvPr>
          <xdr:cNvSpPr txBox="1"/>
        </xdr:nvSpPr>
        <xdr:spPr>
          <a:xfrm>
            <a:off x="10000449" y="5450651"/>
            <a:ext cx="6786693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does the survival flag look like in each region?</a:t>
            </a:r>
            <a:endParaRPr lang="en-US" sz="1800" b="1" i="1">
              <a:solidFill>
                <a:srgbClr val="008B2C"/>
              </a:solidFill>
            </a:endParaRPr>
          </a:p>
        </xdr:txBody>
      </xdr:sp>
    </xdr:grpSp>
    <xdr:clientData/>
  </xdr:twoCellAnchor>
  <xdr:twoCellAnchor>
    <xdr:from>
      <xdr:col>3</xdr:col>
      <xdr:colOff>360405</xdr:colOff>
      <xdr:row>61</xdr:row>
      <xdr:rowOff>128716</xdr:rowOff>
    </xdr:from>
    <xdr:to>
      <xdr:col>32</xdr:col>
      <xdr:colOff>390713</xdr:colOff>
      <xdr:row>106</xdr:row>
      <xdr:rowOff>136511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BD9E9EFD-3B2F-4E1C-BD17-1555DB092DF9}"/>
            </a:ext>
          </a:extLst>
        </xdr:cNvPr>
        <xdr:cNvGrpSpPr/>
      </xdr:nvGrpSpPr>
      <xdr:grpSpPr>
        <a:xfrm>
          <a:off x="2221103" y="12289704"/>
          <a:ext cx="18017052" cy="8979016"/>
          <a:chOff x="1141712" y="369929"/>
          <a:chExt cx="17947605" cy="8116916"/>
        </a:xfrm>
      </xdr:grpSpPr>
      <xdr:sp macro="" textlink="">
        <xdr:nvSpPr>
          <xdr:cNvPr id="34" name="Rectangle: Rounded Corners 33">
            <a:extLst>
              <a:ext uri="{FF2B5EF4-FFF2-40B4-BE49-F238E27FC236}">
                <a16:creationId xmlns:a16="http://schemas.microsoft.com/office/drawing/2014/main" id="{F92843D1-D068-D069-D422-332C87AEE736}"/>
              </a:ext>
            </a:extLst>
          </xdr:cNvPr>
          <xdr:cNvSpPr/>
        </xdr:nvSpPr>
        <xdr:spPr>
          <a:xfrm>
            <a:off x="1141712" y="369929"/>
            <a:ext cx="17947605" cy="8116916"/>
          </a:xfrm>
          <a:prstGeom prst="roundRect">
            <a:avLst>
              <a:gd name="adj" fmla="val 5338"/>
            </a:avLst>
          </a:prstGeom>
          <a:gradFill flip="none" rotWithShape="1">
            <a:gsLst>
              <a:gs pos="0">
                <a:srgbClr val="1B7339"/>
              </a:gs>
              <a:gs pos="63000">
                <a:srgbClr val="1B7339"/>
              </a:gs>
              <a:gs pos="65500">
                <a:srgbClr val="1B7339"/>
              </a:gs>
              <a:gs pos="65000">
                <a:srgbClr val="8DB99C">
                  <a:lumMod val="21000"/>
                </a:srgbClr>
              </a:gs>
              <a:gs pos="58000">
                <a:schemeClr val="bg1"/>
              </a:gs>
              <a:gs pos="55000">
                <a:srgbClr val="1B7339"/>
              </a:gs>
              <a:gs pos="100000">
                <a:srgbClr val="1B7339"/>
              </a:gs>
            </a:gsLst>
            <a:lin ang="5400000" scaled="1"/>
            <a:tileRect/>
          </a:gra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A">
        <xdr:nvSpPr>
          <xdr:cNvPr id="35" name="Rectangle: Rounded Corners 34">
            <a:extLst>
              <a:ext uri="{FF2B5EF4-FFF2-40B4-BE49-F238E27FC236}">
                <a16:creationId xmlns:a16="http://schemas.microsoft.com/office/drawing/2014/main" id="{42248B3C-529E-37FC-7AC0-AB69A6349F8C}"/>
              </a:ext>
            </a:extLst>
          </xdr:cNvPr>
          <xdr:cNvSpPr/>
        </xdr:nvSpPr>
        <xdr:spPr>
          <a:xfrm>
            <a:off x="9450494" y="577768"/>
            <a:ext cx="1992057" cy="1055960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7AA6225-9149-4379-BC98-8284299B207E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1802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6" name="Rectangle: Rounded Corners 35">
            <a:extLst>
              <a:ext uri="{FF2B5EF4-FFF2-40B4-BE49-F238E27FC236}">
                <a16:creationId xmlns:a16="http://schemas.microsoft.com/office/drawing/2014/main" id="{DF8E677E-9B24-F4DE-7096-370446DF1412}"/>
              </a:ext>
            </a:extLst>
          </xdr:cNvPr>
          <xdr:cNvSpPr/>
        </xdr:nvSpPr>
        <xdr:spPr>
          <a:xfrm>
            <a:off x="9891034" y="1804193"/>
            <a:ext cx="8224701" cy="3230709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I">
        <xdr:nvSpPr>
          <xdr:cNvPr id="37" name="Rectangle: Rounded Corners 36">
            <a:extLst>
              <a:ext uri="{FF2B5EF4-FFF2-40B4-BE49-F238E27FC236}">
                <a16:creationId xmlns:a16="http://schemas.microsoft.com/office/drawing/2014/main" id="{BC12FA7D-A56D-B55B-CE5D-23CC03934054}"/>
              </a:ext>
            </a:extLst>
          </xdr:cNvPr>
          <xdr:cNvSpPr/>
        </xdr:nvSpPr>
        <xdr:spPr>
          <a:xfrm>
            <a:off x="5209116" y="611107"/>
            <a:ext cx="1992058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3198C55-8AF2-456E-852D-2951BE253126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200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V">
        <xdr:nvSpPr>
          <xdr:cNvPr id="38" name="Rectangle: Rounded Corners 37">
            <a:extLst>
              <a:ext uri="{FF2B5EF4-FFF2-40B4-BE49-F238E27FC236}">
                <a16:creationId xmlns:a16="http://schemas.microsoft.com/office/drawing/2014/main" id="{E18B9552-8DA8-266D-1B33-CEAA296E0DE9}"/>
              </a:ext>
            </a:extLst>
          </xdr:cNvPr>
          <xdr:cNvSpPr/>
        </xdr:nvSpPr>
        <xdr:spPr>
          <a:xfrm>
            <a:off x="7322545" y="595376"/>
            <a:ext cx="1994741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54BA936C-5D09-4A85-8A7B-782892E22592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4134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U">
        <xdr:nvSpPr>
          <xdr:cNvPr id="39" name="Rectangle: Rounded Corners 38">
            <a:extLst>
              <a:ext uri="{FF2B5EF4-FFF2-40B4-BE49-F238E27FC236}">
                <a16:creationId xmlns:a16="http://schemas.microsoft.com/office/drawing/2014/main" id="{D35E8BE1-32BD-4498-CFB6-99B218E76B78}"/>
              </a:ext>
            </a:extLst>
          </xdr:cNvPr>
          <xdr:cNvSpPr/>
        </xdr:nvSpPr>
        <xdr:spPr>
          <a:xfrm>
            <a:off x="13660694" y="611758"/>
            <a:ext cx="1992059" cy="1063898"/>
          </a:xfrm>
          <a:prstGeom prst="roundRect">
            <a:avLst>
              <a:gd name="adj" fmla="val 8974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3AB0CEC9-4F6C-4618-B0B4-9E641BC58D75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1148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TD">
        <xdr:nvSpPr>
          <xdr:cNvPr id="40" name="Rectangle: Rounded Corners 39">
            <a:extLst>
              <a:ext uri="{FF2B5EF4-FFF2-40B4-BE49-F238E27FC236}">
                <a16:creationId xmlns:a16="http://schemas.microsoft.com/office/drawing/2014/main" id="{812E46BE-9C11-116E-A16D-9D476433C4EF}"/>
              </a:ext>
            </a:extLst>
          </xdr:cNvPr>
          <xdr:cNvSpPr/>
        </xdr:nvSpPr>
        <xdr:spPr>
          <a:xfrm>
            <a:off x="11554612" y="576182"/>
            <a:ext cx="2001080" cy="1063898"/>
          </a:xfrm>
          <a:prstGeom prst="roundRect">
            <a:avLst>
              <a:gd name="adj" fmla="val 8975"/>
            </a:avLst>
          </a:prstGeom>
          <a:solidFill>
            <a:srgbClr val="008B2C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b"/>
          <a:lstStyle/>
          <a:p>
            <a:pPr marL="0" indent="0" algn="ctr"/>
            <a:fld id="{FDE2A8C3-D813-4340-81E9-B4CA2168DA69}" type="TxLink">
              <a:rPr lang="en-US" sz="2800" b="1">
                <a:solidFill>
                  <a:schemeClr val="bg1"/>
                </a:solidFill>
                <a:latin typeface="+mn-lt"/>
                <a:ea typeface="+mn-ea"/>
                <a:cs typeface="+mn-cs"/>
              </a:rPr>
              <a:pPr marL="0" indent="0" algn="ctr"/>
              <a:t>1184</a:t>
            </a:fld>
            <a:endParaRPr lang="en-US" sz="2800" b="1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31813349-02A5-710F-1F6A-CDC448CBB7EE}"/>
              </a:ext>
            </a:extLst>
          </xdr:cNvPr>
          <xdr:cNvSpPr txBox="1"/>
        </xdr:nvSpPr>
        <xdr:spPr>
          <a:xfrm>
            <a:off x="1651313" y="772766"/>
            <a:ext cx="3291390" cy="467200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rgbClr val="008B2C"/>
                </a:solidFill>
              </a:rPr>
              <a:t>NIGERIA</a:t>
            </a:r>
            <a:r>
              <a:rPr lang="en-US" sz="1200" b="1">
                <a:solidFill>
                  <a:srgbClr val="008B2C"/>
                </a:solidFill>
              </a:rPr>
              <a:t> </a:t>
            </a:r>
            <a:r>
              <a:rPr lang="en-US" sz="2400" b="1">
                <a:solidFill>
                  <a:srgbClr val="008B2C"/>
                </a:solidFill>
              </a:rPr>
              <a:t>KIDNAPPING</a:t>
            </a:r>
            <a:endParaRPr lang="en-US" sz="1200" b="1">
              <a:solidFill>
                <a:srgbClr val="008B2C"/>
              </a:solidFill>
            </a:endParaRPr>
          </a:p>
        </xdr:txBody>
      </xdr:sp>
      <xdr:sp macro="" textlink="">
        <xdr:nvSpPr>
          <xdr:cNvPr id="42" name="Rectangle: Rounded Corners 41">
            <a:extLst>
              <a:ext uri="{FF2B5EF4-FFF2-40B4-BE49-F238E27FC236}">
                <a16:creationId xmlns:a16="http://schemas.microsoft.com/office/drawing/2014/main" id="{03B41700-30B7-7FB4-C8CF-695C2718B4C6}"/>
              </a:ext>
            </a:extLst>
          </xdr:cNvPr>
          <xdr:cNvSpPr/>
        </xdr:nvSpPr>
        <xdr:spPr>
          <a:xfrm>
            <a:off x="9859994" y="5160916"/>
            <a:ext cx="8275584" cy="3212474"/>
          </a:xfrm>
          <a:prstGeom prst="roundRect">
            <a:avLst>
              <a:gd name="adj" fmla="val 545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3" name="Rectangle: Rounded Corners 42">
            <a:extLst>
              <a:ext uri="{FF2B5EF4-FFF2-40B4-BE49-F238E27FC236}">
                <a16:creationId xmlns:a16="http://schemas.microsoft.com/office/drawing/2014/main" id="{D7C2E608-6EAC-E22F-690F-33145AEC1E14}"/>
              </a:ext>
            </a:extLst>
          </xdr:cNvPr>
          <xdr:cNvSpPr/>
        </xdr:nvSpPr>
        <xdr:spPr>
          <a:xfrm>
            <a:off x="1749233" y="5127868"/>
            <a:ext cx="7855678" cy="3212474"/>
          </a:xfrm>
          <a:prstGeom prst="roundRect">
            <a:avLst>
              <a:gd name="adj" fmla="val 6579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4" name="Rectangle: Rounded Corners 43">
            <a:extLst>
              <a:ext uri="{FF2B5EF4-FFF2-40B4-BE49-F238E27FC236}">
                <a16:creationId xmlns:a16="http://schemas.microsoft.com/office/drawing/2014/main" id="{21EF2DF7-E9F2-1CFE-4D0D-16F42B7601A0}"/>
              </a:ext>
            </a:extLst>
          </xdr:cNvPr>
          <xdr:cNvSpPr/>
        </xdr:nvSpPr>
        <xdr:spPr>
          <a:xfrm>
            <a:off x="1656654" y="1802294"/>
            <a:ext cx="7987946" cy="3212475"/>
          </a:xfrm>
          <a:prstGeom prst="roundRect">
            <a:avLst>
              <a:gd name="adj" fmla="val 4898"/>
            </a:avLst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endParaRPr lang="en-US" sz="2000">
              <a:solidFill>
                <a:schemeClr val="bg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CF1793F0-A89E-E369-273F-18E6F02F83B0}"/>
              </a:ext>
            </a:extLst>
          </xdr:cNvPr>
          <xdr:cNvSpPr txBox="1"/>
        </xdr:nvSpPr>
        <xdr:spPr>
          <a:xfrm>
            <a:off x="5173613" y="656062"/>
            <a:ext cx="2171012" cy="5117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Incidents</a:t>
            </a: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987BC9D6-3054-1311-18FE-E15975736A8E}"/>
              </a:ext>
            </a:extLst>
          </xdr:cNvPr>
          <xdr:cNvSpPr txBox="1"/>
        </xdr:nvSpPr>
        <xdr:spPr>
          <a:xfrm>
            <a:off x="6446233" y="455077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Victims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FC6D4488-A87F-FBE4-DD07-70C365B9B44B}"/>
              </a:ext>
            </a:extLst>
          </xdr:cNvPr>
          <xdr:cNvSpPr txBox="1"/>
        </xdr:nvSpPr>
        <xdr:spPr>
          <a:xfrm>
            <a:off x="8538736" y="434296"/>
            <a:ext cx="3834184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Living</a:t>
            </a:r>
          </a:p>
        </xdr:txBody>
      </xdr:sp>
      <xdr:sp macro="" textlink="">
        <xdr:nvSpPr>
          <xdr:cNvPr id="50" name="TextBox 49">
            <a:extLst>
              <a:ext uri="{FF2B5EF4-FFF2-40B4-BE49-F238E27FC236}">
                <a16:creationId xmlns:a16="http://schemas.microsoft.com/office/drawing/2014/main" id="{61107FC2-25CD-D4D5-AB04-6B0DD1F13036}"/>
              </a:ext>
            </a:extLst>
          </xdr:cNvPr>
          <xdr:cNvSpPr txBox="1"/>
        </xdr:nvSpPr>
        <xdr:spPr>
          <a:xfrm>
            <a:off x="13053446" y="616341"/>
            <a:ext cx="3295856" cy="61933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Unknown</a:t>
            </a:r>
          </a:p>
        </xdr:txBody>
      </xdr:sp>
      <xdr:sp macro="" textlink="">
        <xdr:nvSpPr>
          <xdr:cNvPr id="51" name="TextBox 50">
            <a:extLst>
              <a:ext uri="{FF2B5EF4-FFF2-40B4-BE49-F238E27FC236}">
                <a16:creationId xmlns:a16="http://schemas.microsoft.com/office/drawing/2014/main" id="{13DB0C37-04AB-F3EE-2BA2-81690B8C1CCD}"/>
              </a:ext>
            </a:extLst>
          </xdr:cNvPr>
          <xdr:cNvSpPr txBox="1"/>
        </xdr:nvSpPr>
        <xdr:spPr>
          <a:xfrm>
            <a:off x="10647902" y="430958"/>
            <a:ext cx="3822482" cy="8432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2400" b="1">
                <a:solidFill>
                  <a:schemeClr val="bg1"/>
                </a:solidFill>
              </a:rPr>
              <a:t>Total Dead</a:t>
            </a:r>
          </a:p>
        </xdr:txBody>
      </xdr: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C8F8396F-1563-641D-B19E-5F5C93F5517C}"/>
              </a:ext>
            </a:extLst>
          </xdr:cNvPr>
          <xdr:cNvSpPr txBox="1"/>
        </xdr:nvSpPr>
        <xdr:spPr>
          <a:xfrm>
            <a:off x="1807174" y="1717074"/>
            <a:ext cx="5797379" cy="6120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Percentage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of Incidents by Region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FD0D4413-B4E9-F2FA-628A-251AA37FF74C}"/>
              </a:ext>
            </a:extLst>
          </xdr:cNvPr>
          <xdr:cNvSpPr txBox="1"/>
        </xdr:nvSpPr>
        <xdr:spPr>
          <a:xfrm>
            <a:off x="1769074" y="2186244"/>
            <a:ext cx="6786692" cy="4413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is the percentage incident in each region?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7E585AAE-899F-76B2-8D72-E7FFA51A6709}"/>
              </a:ext>
            </a:extLst>
          </xdr:cNvPr>
          <xdr:cNvSpPr txBox="1"/>
        </xdr:nvSpPr>
        <xdr:spPr>
          <a:xfrm>
            <a:off x="9966366" y="1825839"/>
            <a:ext cx="5798667" cy="44136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Number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of Incidents by Location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56" name="TextBox 55">
            <a:extLst>
              <a:ext uri="{FF2B5EF4-FFF2-40B4-BE49-F238E27FC236}">
                <a16:creationId xmlns:a16="http://schemas.microsoft.com/office/drawing/2014/main" id="{00EBC2E6-9FAB-A615-D4E1-62E22127C0E6}"/>
              </a:ext>
            </a:extLst>
          </xdr:cNvPr>
          <xdr:cNvSpPr txBox="1"/>
        </xdr:nvSpPr>
        <xdr:spPr>
          <a:xfrm>
            <a:off x="9928266" y="2257682"/>
            <a:ext cx="6786693" cy="30801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location type had the highest kidnappings?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43A61520-4685-6CFE-0469-24DECCC6EF06}"/>
              </a:ext>
            </a:extLst>
          </xdr:cNvPr>
          <xdr:cNvSpPr txBox="1"/>
        </xdr:nvSpPr>
        <xdr:spPr>
          <a:xfrm>
            <a:off x="1961739" y="5207420"/>
            <a:ext cx="7147365" cy="33279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Incidents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over Time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59" name="TextBox 58">
            <a:extLst>
              <a:ext uri="{FF2B5EF4-FFF2-40B4-BE49-F238E27FC236}">
                <a16:creationId xmlns:a16="http://schemas.microsoft.com/office/drawing/2014/main" id="{A458D9F9-CD4F-4DCF-E73B-53A1E9C616DD}"/>
              </a:ext>
            </a:extLst>
          </xdr:cNvPr>
          <xdr:cNvSpPr txBox="1"/>
        </xdr:nvSpPr>
        <xdr:spPr>
          <a:xfrm>
            <a:off x="1941960" y="5531883"/>
            <a:ext cx="6786692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>
                <a:solidFill>
                  <a:srgbClr val="008B2C"/>
                </a:solidFill>
              </a:rPr>
              <a:t>What</a:t>
            </a:r>
            <a:r>
              <a:rPr lang="en-US" sz="1800" b="1" i="1" baseline="0">
                <a:solidFill>
                  <a:srgbClr val="008B2C"/>
                </a:solidFill>
              </a:rPr>
              <a:t> does the trend look like over time?</a:t>
            </a:r>
            <a:endParaRPr lang="en-US" sz="1800" b="1" i="1">
              <a:solidFill>
                <a:srgbClr val="008B2C"/>
              </a:solidFill>
            </a:endParaRPr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A8CD8657-5687-04A2-BA34-4E372C6D4AF9}"/>
              </a:ext>
            </a:extLst>
          </xdr:cNvPr>
          <xdr:cNvSpPr txBox="1"/>
        </xdr:nvSpPr>
        <xdr:spPr>
          <a:xfrm>
            <a:off x="10008533" y="5225393"/>
            <a:ext cx="7147366" cy="34243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2000" b="1">
                <a:solidFill>
                  <a:srgbClr val="008B2C"/>
                </a:solidFill>
                <a:latin typeface="Arial Black" panose="020B0A04020102020204" pitchFamily="34" charset="0"/>
              </a:rPr>
              <a:t>Incidents</a:t>
            </a:r>
            <a:r>
              <a:rPr lang="en-US" sz="2000" b="1" baseline="0">
                <a:solidFill>
                  <a:srgbClr val="008B2C"/>
                </a:solidFill>
                <a:latin typeface="Arial Black" panose="020B0A04020102020204" pitchFamily="34" charset="0"/>
              </a:rPr>
              <a:t> by Settlement</a:t>
            </a:r>
            <a:endParaRPr lang="en-US" sz="2000" b="1">
              <a:solidFill>
                <a:srgbClr val="008B2C"/>
              </a:solidFill>
              <a:latin typeface="Arial Black" panose="020B0A04020102020204" pitchFamily="34" charset="0"/>
            </a:endParaRP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96894BFB-8CA9-1514-EC54-861F1205CFF7}"/>
              </a:ext>
            </a:extLst>
          </xdr:cNvPr>
          <xdr:cNvSpPr txBox="1"/>
        </xdr:nvSpPr>
        <xdr:spPr>
          <a:xfrm>
            <a:off x="10000449" y="5450651"/>
            <a:ext cx="6786693" cy="3719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800" b="1" i="1" baseline="0">
                <a:solidFill>
                  <a:srgbClr val="008B2C"/>
                </a:solidFill>
              </a:rPr>
              <a:t>Were the Incidents higher in Urban or Rural areas?</a:t>
            </a:r>
            <a:endParaRPr lang="en-US" sz="1800" b="1" i="1">
              <a:solidFill>
                <a:srgbClr val="008B2C"/>
              </a:solidFill>
            </a:endParaRPr>
          </a:p>
        </xdr:txBody>
      </xdr:sp>
    </xdr:grpSp>
    <xdr:clientData/>
  </xdr:twoCellAnchor>
  <xdr:twoCellAnchor>
    <xdr:from>
      <xdr:col>18</xdr:col>
      <xdr:colOff>296199</xdr:colOff>
      <xdr:row>92</xdr:row>
      <xdr:rowOff>6600</xdr:rowOff>
    </xdr:from>
    <xdr:to>
      <xdr:col>28</xdr:col>
      <xdr:colOff>454132</xdr:colOff>
      <xdr:row>106</xdr:row>
      <xdr:rowOff>97483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AF32E06-C76E-452A-B30B-153DC3385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205946</xdr:colOff>
      <xdr:row>73</xdr:row>
      <xdr:rowOff>25744</xdr:rowOff>
    </xdr:from>
    <xdr:to>
      <xdr:col>30</xdr:col>
      <xdr:colOff>411891</xdr:colOff>
      <xdr:row>88</xdr:row>
      <xdr:rowOff>65903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5705C88C-69E9-4EB1-A3AE-8E59F8956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502983</xdr:colOff>
      <xdr:row>92</xdr:row>
      <xdr:rowOff>24422</xdr:rowOff>
    </xdr:from>
    <xdr:to>
      <xdr:col>17</xdr:col>
      <xdr:colOff>245550</xdr:colOff>
      <xdr:row>106</xdr:row>
      <xdr:rowOff>51485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DE17ECDB-D429-429B-B0B3-30639BEE9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97691</xdr:colOff>
      <xdr:row>73</xdr:row>
      <xdr:rowOff>128717</xdr:rowOff>
    </xdr:from>
    <xdr:to>
      <xdr:col>17</xdr:col>
      <xdr:colOff>146538</xdr:colOff>
      <xdr:row>87</xdr:row>
      <xdr:rowOff>136532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3E1B9B33-E875-4DA2-8EF4-C839C73FD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0.32075</cdr:x>
      <cdr:y>0.2797</cdr:y>
    </cdr:from>
    <cdr:to>
      <cdr:x>0.58176</cdr:x>
      <cdr:y>0.70654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E062872-73A8-C8A8-FFDF-F58D22D21BCB}"/>
            </a:ext>
          </a:extLst>
        </cdr:cNvPr>
        <cdr:cNvSpPr txBox="1"/>
      </cdr:nvSpPr>
      <cdr:spPr>
        <a:xfrm xmlns:a="http://schemas.openxmlformats.org/drawingml/2006/main">
          <a:off x="1833113" y="942095"/>
          <a:ext cx="1491651" cy="14377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0.22857</cdr:x>
      <cdr:y>0.27441</cdr:y>
    </cdr:from>
    <cdr:to>
      <cdr:x>0.60483</cdr:x>
      <cdr:y>0.72068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EC52D5D-D792-06E2-8274-C64BEE10B19C}"/>
            </a:ext>
          </a:extLst>
        </cdr:cNvPr>
        <cdr:cNvSpPr txBox="1"/>
      </cdr:nvSpPr>
      <cdr:spPr>
        <a:xfrm xmlns:a="http://schemas.openxmlformats.org/drawingml/2006/main">
          <a:off x="1453743" y="790841"/>
          <a:ext cx="2393156" cy="1286103"/>
        </a:xfrm>
        <a:prstGeom xmlns:a="http://schemas.openxmlformats.org/drawingml/2006/main" prst="rect">
          <a:avLst/>
        </a:prstGeom>
        <a:effectLst xmlns:a="http://schemas.openxmlformats.org/drawingml/2006/main">
          <a:glow rad="228600">
            <a:schemeClr val="accent3">
              <a:satMod val="175000"/>
              <a:alpha val="40000"/>
            </a:schemeClr>
          </a:glow>
          <a:outerShdw blurRad="50800" dist="50800" dir="5400000" algn="ctr" rotWithShape="0">
            <a:schemeClr val="accent3">
              <a:lumMod val="50000"/>
            </a:schemeClr>
          </a:outerShdw>
        </a:effectLst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3200" b="1" kern="1200">
              <a:solidFill>
                <a:srgbClr val="1B7339"/>
              </a:solidFill>
            </a:rPr>
            <a:t>RURAL</a:t>
          </a:r>
          <a:endParaRPr lang="en-US" sz="4000" b="1" kern="1200">
            <a:solidFill>
              <a:srgbClr val="1B7339"/>
            </a:solidFill>
          </a:endParaRPr>
        </a:p>
        <a:p xmlns:a="http://schemas.openxmlformats.org/drawingml/2006/main">
          <a:pPr algn="ctr"/>
          <a:r>
            <a:rPr lang="en-US" sz="3200" b="1" kern="1200">
              <a:solidFill>
                <a:srgbClr val="1B7339"/>
              </a:solidFill>
            </a:rPr>
            <a:t>118</a:t>
          </a:r>
          <a:endParaRPr lang="en-US" sz="4000" b="1" kern="1200">
            <a:solidFill>
              <a:srgbClr val="1B7339"/>
            </a:solidFill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_USER" refreshedDate="46128.304532523151" createdVersion="8" refreshedVersion="8" minRefreshableVersion="3" recordCount="14" xr:uid="{4470D359-F9C2-4ACC-AD7D-ABE61DC19F5B}">
  <cacheSource type="worksheet">
    <worksheetSource ref="A3:B17" sheet="Pivot table"/>
  </cacheSource>
  <cacheFields count="2">
    <cacheField name="Row Labels" numFmtId="0">
      <sharedItems count="14">
        <s v="Abuja"/>
        <s v="Anambra"/>
        <s v="Benue"/>
        <s v="Borno"/>
        <s v="Delta"/>
        <s v="Kaduna"/>
        <s v="Kano"/>
        <s v="Katsina"/>
        <s v="Lagos"/>
        <s v="Ogun"/>
        <s v="Oyo"/>
        <s v="Rivers"/>
        <s v="Zamfara"/>
        <s v="Grand Total"/>
      </sharedItems>
    </cacheField>
    <cacheField name="Count of Incident_ID" numFmtId="0">
      <sharedItems containsSemiMixedTypes="0" containsString="0" containsNumber="1" containsInteger="1" minValue="9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00794675924" backgroundQuery="1" createdVersion="8" refreshedVersion="8" minRefreshableVersion="3" recordCount="0" supportSubquery="1" supportAdvancedDrill="1" xr:uid="{4EE76D45-F238-449F-BECA-338920D6B5AC}">
  <cacheSource type="external" connectionId="3"/>
  <cacheFields count="3">
    <cacheField name="[Table1_3].[Year].[Year]" caption="Year" numFmtId="0" hierarchy="20" level="1">
      <sharedItems containsSemiMixedTypes="0" containsString="0" containsNumber="1" containsInteger="1" minValue="2023" maxValue="2024" count="2"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Table1_3].[Year].&amp;[2023]"/>
            <x15:cachedUniqueName index="1" name="[Table1_3].[Year].&amp;[2024]"/>
          </x15:cachedUniqueNames>
        </ext>
      </extLst>
    </cacheField>
    <cacheField name="[Measures].[Count of Incident_ID]" caption="Count of Incident_ID" numFmtId="0" hierarchy="38" level="32767"/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2"/>
      </fieldsUsage>
    </cacheHierarchy>
    <cacheHierarchy uniqueName="[Table1_3].[Year]" caption="Year" attribute="1" defaultMemberUniqueName="[Table1_3].[Year].[All]" allUniqueName="[Table1_3].[Year].[All]" dimensionUniqueName="[Table1_3]" displayFolder="" count="2" memberValueDatatype="20" unbalanced="0">
      <fieldsUsage count="2">
        <fieldUsage x="-1"/>
        <fieldUsage x="0"/>
      </fieldsUsage>
    </cacheHierarchy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297774305553" backgroundQuery="1" createdVersion="8" refreshedVersion="8" minRefreshableVersion="3" recordCount="0" supportSubquery="1" supportAdvancedDrill="1" xr:uid="{78F29C22-AFB2-4257-86D7-D00BE93209C2}">
  <cacheSource type="external" connectionId="3"/>
  <cacheFields count="3">
    <cacheField name="[Table1_3].[Outcome].[Outcome]" caption="Outcome" numFmtId="0" hierarchy="28" level="1">
      <sharedItems count="4">
        <s v="Escaped"/>
        <s v="Kidnapped"/>
        <s v="Killed"/>
        <s v="Released"/>
      </sharedItems>
    </cacheField>
    <cacheField name="[Measures].[Count of Outcome]" caption="Count of Outcome" numFmtId="0" hierarchy="43" level="32767"/>
    <cacheField name="[Table1_3].[Security_Response].[Security_Response]" caption="Security_Response" numFmtId="0" hierarchy="29" level="1">
      <sharedItems count="4">
        <s v="Delayed"/>
        <s v="Moderate"/>
        <s v="No Response"/>
        <s v="Quick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2" memberValueDatatype="130" unbalanced="0">
      <fieldsUsage count="2">
        <fieldUsage x="-1"/>
        <fieldUsage x="2"/>
      </fieldsUsage>
    </cacheHierarchy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28231481479" backgroundQuery="1" createdVersion="8" refreshedVersion="8" minRefreshableVersion="3" recordCount="0" supportSubquery="1" supportAdvancedDrill="1" xr:uid="{C251FB97-B8DB-4111-89A0-F44ADACE0C6F}">
  <cacheSource type="external" connectionId="3"/>
  <cacheFields count="3">
    <cacheField name="[Table1_3].[Region].[Region]" caption="Region" numFmtId="0" hierarchy="22" level="1">
      <sharedItems count="6">
        <s v="North Central"/>
        <s v="North East"/>
        <s v="North West"/>
        <s v="South East"/>
        <s v="South South"/>
        <s v="South West"/>
      </sharedItems>
    </cacheField>
    <cacheField name="[Measures].[Average of Ransom_Demanded_NGN]" caption="Average of Ransom_Demanded_NGN" numFmtId="0" hierarchy="45" level="32767"/>
    <cacheField name="[Measures].[Average of Ransom_Paid_NGN]" caption="Average of Ransom_Paid_NGN" numFmtId="0" hierarchy="46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24700231482" backgroundQuery="1" createdVersion="8" refreshedVersion="8" minRefreshableVersion="3" recordCount="0" supportSubquery="1" supportAdvancedDrill="1" xr:uid="{160C990F-2779-482B-A7BD-C984DDEE3D01}">
  <cacheSource type="external" connectionId="3"/>
  <cacheFields count="2">
    <cacheField name="[Measures].[Count of Incident_ID]" caption="Count of Incident_ID" numFmtId="0" hierarchy="38" level="32767"/>
    <cacheField name="[Table1_3].[Region].[Region]" caption="Region" numFmtId="0" hierarchy="22" level="1">
      <sharedItems count="6">
        <s v="North Central"/>
        <s v="North East"/>
        <s v="North West"/>
        <s v="South East"/>
        <s v="South South"/>
        <s v="South West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293586111111" backgroundQuery="1" createdVersion="8" refreshedVersion="8" minRefreshableVersion="3" recordCount="0" supportSubquery="1" supportAdvancedDrill="1" xr:uid="{A0051B68-0F1E-4959-908F-8D6D5F557762}">
  <cacheSource type="external" connectionId="3"/>
  <cacheFields count="2">
    <cacheField name="[Measures].[Count of Incident_ID]" caption="Count of Incident_ID" numFmtId="0" hierarchy="38" level="32767"/>
    <cacheField name="[Table1_3].[Urban_Rural].[Urban_Rural]" caption="Urban_Rural" numFmtId="0" hierarchy="31" level="1">
      <sharedItems count="2">
        <s v="Rural"/>
        <s v="Urban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4935300926" backgroundQuery="1" createdVersion="8" refreshedVersion="8" minRefreshableVersion="3" recordCount="0" supportSubquery="1" supportAdvancedDrill="1" xr:uid="{AFD135F7-1935-4126-8F57-095A0A84FAF1}">
  <cacheSource type="external" connectionId="3"/>
  <cacheFields count="3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Table1_3].[Survival_Flap].[Survival_Flap]" caption="Survival_Flap" numFmtId="0" hierarchy="30" level="1">
      <sharedItems count="3">
        <s v="Alive"/>
        <s v="Dead"/>
        <s v="Unknown"/>
      </sharedItems>
    </cacheField>
    <cacheField name="[Measures].[Sum of Victims_Count]" caption="Sum of Victims_Count" numFmtId="0" hierarchy="39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0791319448" backgroundQuery="1" createdVersion="8" refreshedVersion="8" minRefreshableVersion="3" recordCount="0" supportSubquery="1" supportAdvancedDrill="1" xr:uid="{C0163BE4-1FFB-474F-8991-F91D0AF0067B}">
  <cacheSource type="external" connectionId="3"/>
  <cacheFields count="2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Sum of Victims_Count]" caption="Sum of Victims_Count" numFmtId="0" hierarchy="39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1111805554" backgroundQuery="1" createdVersion="8" refreshedVersion="8" minRefreshableVersion="3" recordCount="0" supportSubquery="1" supportAdvancedDrill="1" xr:uid="{598AFA64-89FD-40AB-B59F-444669985DBA}">
  <cacheSource type="external" connectionId="3"/>
  <cacheFields count="2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Count of Incident_ID]" caption="Count of Incident_ID" numFmtId="0" hierarchy="38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2217245367" backgroundQuery="1" createdVersion="8" refreshedVersion="8" minRefreshableVersion="3" recordCount="0" supportSubquery="1" supportAdvancedDrill="1" xr:uid="{C33B6D80-FC7E-4D17-99FE-96CFDF96AF76}">
  <cacheSource type="external" connectionId="3"/>
  <cacheFields count="3">
    <cacheField name="[Measures].[Count of Incident_ID]" caption="Count of Incident_ID" numFmtId="0" hierarchy="38" level="32767"/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Table1_3].[Location_Type].[Location_Type]" caption="Location_Type" numFmtId="0" hierarchy="23" level="1">
      <sharedItems count="7">
        <s v="Farm"/>
        <s v="Market"/>
        <s v="Residential"/>
        <s v="Road"/>
        <s v="School"/>
        <s v="Village"/>
        <s v="Waterway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0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2" memberValueDatatype="130" unbalanced="0">
      <fieldsUsage count="2">
        <fieldUsage x="-1"/>
        <fieldUsage x="2"/>
      </fieldsUsage>
    </cacheHierarchy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28.358597222221" backgroundQuery="1" createdVersion="8" refreshedVersion="8" minRefreshableVersion="3" recordCount="0" supportSubquery="1" supportAdvancedDrill="1" xr:uid="{C93AFECD-C3F8-45CA-B2B1-2675FF6E9295}">
  <cacheSource type="external" connectionId="3"/>
  <cacheFields count="4">
    <cacheField name="[Table1_3].[Month].[Month]" caption="Month" numFmtId="0" hierarchy="19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Table1_3].[Survival_Flap].[Survival_Flap]" caption="Survival_Flap" numFmtId="0" hierarchy="30" level="1">
      <sharedItems count="3">
        <s v="Alive"/>
        <s v="Dead"/>
        <s v="Unknown"/>
      </sharedItems>
    </cacheField>
    <cacheField name="[Measures].[Sum of Victims_Count]" caption="Sum of Victims_Count" numFmtId="0" hierarchy="39" level="32767"/>
    <cacheField name="[Table1_3].[Region].[Region]" caption="Region" numFmtId="0" hierarchy="22" level="1">
      <sharedItems count="6">
        <s v="North Central"/>
        <s v="North East"/>
        <s v="North West"/>
        <s v="South East"/>
        <s v="South South"/>
        <s v="South West"/>
      </sharedItems>
    </cacheField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/>
    <cacheHierarchy uniqueName="[Table1_3].[Region]" caption="Region" attribute="1" defaultMemberUniqueName="[Table1_3].[Region].[All]" allUniqueName="[Table1_3].[Region].[All]" dimensionUniqueName="[Table1_3]" displayFolder="" count="2" memberValueDatatype="130" unbalanced="0">
      <fieldsUsage count="2">
        <fieldUsage x="-1"/>
        <fieldUsage x="3"/>
      </fieldsUsage>
    </cacheHierarchy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2" memberValueDatatype="130" unbalanced="0">
      <fieldsUsage count="2">
        <fieldUsage x="-1"/>
        <fieldUsage x="1"/>
      </fieldsUsage>
    </cacheHierarchy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_USER" refreshedDate="46132.41183391204" backgroundQuery="1" createdVersion="8" refreshedVersion="8" minRefreshableVersion="3" recordCount="0" supportSubquery="1" supportAdvancedDrill="1" xr:uid="{A4694268-353A-41BD-B66B-5A2AE8696EB9}">
  <cacheSource type="external" connectionId="3"/>
  <cacheFields count="2">
    <cacheField name="[Table1_3].[State].[State]" caption="State" numFmtId="0" hierarchy="21" level="1">
      <sharedItems count="13">
        <s v="Abuja"/>
        <s v="Anambra"/>
        <s v="Benue"/>
        <s v="Borno"/>
        <s v="Delta"/>
        <s v="Kaduna"/>
        <s v="Kano"/>
        <s v="Katsina"/>
        <s v="Lagos"/>
        <s v="Ogun"/>
        <s v="Oyo"/>
        <s v="Rivers"/>
        <s v="Zamfara"/>
      </sharedItems>
    </cacheField>
    <cacheField name="[Measures].[Count of Incident_ID]" caption="Count of Incident_ID" numFmtId="0" hierarchy="38" level="32767"/>
  </cacheFields>
  <cacheHierarchies count="48">
    <cacheHierarchy uniqueName="[Table1_2].[Incident_ID]" caption="Incident_ID" attribute="1" defaultMemberUniqueName="[Table1_2].[Incident_ID].[All]" allUniqueName="[Table1_2].[Incident_ID].[All]" dimensionUniqueName="[Table1_2]" displayFolder="" count="0" memberValueDatatype="130" unbalanced="0"/>
    <cacheHierarchy uniqueName="[Table1_2].[Date]" caption="Date" attribute="1" time="1" defaultMemberUniqueName="[Table1_2].[Date].[All]" allUniqueName="[Table1_2].[Date].[All]" dimensionUniqueName="[Table1_2]" displayFolder="" count="0" memberValueDatatype="7" unbalanced="0"/>
    <cacheHierarchy uniqueName="[Table1_2].[Month]" caption="Month" attribute="1" defaultMemberUniqueName="[Table1_2].[Month].[All]" allUniqueName="[Table1_2].[Month].[All]" dimensionUniqueName="[Table1_2]" displayFolder="" count="0" memberValueDatatype="130" unbalanced="0"/>
    <cacheHierarchy uniqueName="[Table1_2].[Year]" caption="Year" attribute="1" defaultMemberUniqueName="[Table1_2].[Year].[All]" allUniqueName="[Table1_2].[Year].[All]" dimensionUniqueName="[Table1_2]" displayFolder="" count="0" memberValueDatatype="20" unbalanced="0"/>
    <cacheHierarchy uniqueName="[Table1_2].[State]" caption="State" attribute="1" defaultMemberUniqueName="[Table1_2].[State].[All]" allUniqueName="[Table1_2].[State].[All]" dimensionUniqueName="[Table1_2]" displayFolder="" count="0" memberValueDatatype="130" unbalanced="0"/>
    <cacheHierarchy uniqueName="[Table1_2].[Region]" caption="Region" attribute="1" defaultMemberUniqueName="[Table1_2].[Region].[All]" allUniqueName="[Table1_2].[Region].[All]" dimensionUniqueName="[Table1_2]" displayFolder="" count="0" memberValueDatatype="130" unbalanced="0"/>
    <cacheHierarchy uniqueName="[Table1_2].[Location_Type]" caption="Location_Type" attribute="1" defaultMemberUniqueName="[Table1_2].[Location_Type].[All]" allUniqueName="[Table1_2].[Location_Type].[All]" dimensionUniqueName="[Table1_2]" displayFolder="" count="0" memberValueDatatype="130" unbalanced="0"/>
    <cacheHierarchy uniqueName="[Table1_2].[Victims_Count]" caption="Victims_Count" attribute="1" defaultMemberUniqueName="[Table1_2].[Victims_Count].[All]" allUniqueName="[Table1_2].[Victims_Count].[All]" dimensionUniqueName="[Table1_2]" displayFolder="" count="0" memberValueDatatype="20" unbalanced="0"/>
    <cacheHierarchy uniqueName="[Table1_2].[Ransom_Demanded_NGN]" caption="Ransom_Demanded_NGN" attribute="1" defaultMemberUniqueName="[Table1_2].[Ransom_Demanded_NGN].[All]" allUniqueName="[Table1_2].[Ransom_Demanded_NGN].[All]" dimensionUniqueName="[Table1_2]" displayFolder="" count="0" memberValueDatatype="5" unbalanced="0"/>
    <cacheHierarchy uniqueName="[Table1_2].[Ransom_Paid_NGN]" caption="Ransom_Paid_NGN" attribute="1" defaultMemberUniqueName="[Table1_2].[Ransom_Paid_NGN].[All]" allUniqueName="[Table1_2].[Ransom_Paid_NGN].[All]" dimensionUniqueName="[Table1_2]" displayFolder="" count="0" memberValueDatatype="5" unbalanced="0"/>
    <cacheHierarchy uniqueName="[Table1_2].[Ransom_gap]" caption="Ransom_gap" attribute="1" defaultMemberUniqueName="[Table1_2].[Ransom_gap].[All]" allUniqueName="[Table1_2].[Ransom_gap].[All]" dimensionUniqueName="[Table1_2]" displayFolder="" count="0" memberValueDatatype="20" unbalanced="0"/>
    <cacheHierarchy uniqueName="[Table1_2].[Outcome]" caption="Outcome" attribute="1" defaultMemberUniqueName="[Table1_2].[Outcome].[All]" allUniqueName="[Table1_2].[Outcome].[All]" dimensionUniqueName="[Table1_2]" displayFolder="" count="0" memberValueDatatype="130" unbalanced="0"/>
    <cacheHierarchy uniqueName="[Table1_2].[Security_Response]" caption="Security_Response" attribute="1" defaultMemberUniqueName="[Table1_2].[Security_Response].[All]" allUniqueName="[Table1_2].[Security_Response].[All]" dimensionUniqueName="[Table1_2]" displayFolder="" count="0" memberValueDatatype="130" unbalanced="0"/>
    <cacheHierarchy uniqueName="[Table1_2].[Survival_Flap]" caption="Survival_Flap" attribute="1" defaultMemberUniqueName="[Table1_2].[Survival_Flap].[All]" allUniqueName="[Table1_2].[Survival_Flap].[All]" dimensionUniqueName="[Table1_2]" displayFolder="" count="0" memberValueDatatype="130" unbalanced="0"/>
    <cacheHierarchy uniqueName="[Table1_2].[Urban_Rural]" caption="Urban_Rural" attribute="1" defaultMemberUniqueName="[Table1_2].[Urban_Rural].[All]" allUniqueName="[Table1_2].[Urban_Rural].[All]" dimensionUniqueName="[Table1_2]" displayFolder="" count="0" memberValueDatatype="130" unbalanced="0"/>
    <cacheHierarchy uniqueName="[Table1_2].[Latitude]" caption="Latitude" attribute="1" defaultMemberUniqueName="[Table1_2].[Latitude].[All]" allUniqueName="[Table1_2].[Latitude].[All]" dimensionUniqueName="[Table1_2]" displayFolder="" count="0" memberValueDatatype="5" unbalanced="0"/>
    <cacheHierarchy uniqueName="[Table1_2].[Longitude]" caption="Longitude" attribute="1" defaultMemberUniqueName="[Table1_2].[Longitude].[All]" allUniqueName="[Table1_2].[Longitude].[All]" dimensionUniqueName="[Table1_2]" displayFolder="" count="0" memberValueDatatype="5" unbalanced="0"/>
    <cacheHierarchy uniqueName="[Table1_3].[Incident_ID]" caption="Incident_ID" attribute="1" defaultMemberUniqueName="[Table1_3].[Incident_ID].[All]" allUniqueName="[Table1_3].[Incident_ID].[All]" dimensionUniqueName="[Table1_3]" displayFolder="" count="0" memberValueDatatype="130" unbalanced="0"/>
    <cacheHierarchy uniqueName="[Table1_3].[Date]" caption="Date" attribute="1" time="1" defaultMemberUniqueName="[Table1_3].[Date].[All]" allUniqueName="[Table1_3].[Date].[All]" dimensionUniqueName="[Table1_3]" displayFolder="" count="0" memberValueDatatype="7" unbalanced="0"/>
    <cacheHierarchy uniqueName="[Table1_3].[Month]" caption="Month" attribute="1" defaultMemberUniqueName="[Table1_3].[Month].[All]" allUniqueName="[Table1_3].[Month].[All]" dimensionUniqueName="[Table1_3]" displayFolder="" count="0" memberValueDatatype="130" unbalanced="0"/>
    <cacheHierarchy uniqueName="[Table1_3].[Year]" caption="Year" attribute="1" defaultMemberUniqueName="[Table1_3].[Year].[All]" allUniqueName="[Table1_3].[Year].[All]" dimensionUniqueName="[Table1_3]" displayFolder="" count="0" memberValueDatatype="20" unbalanced="0"/>
    <cacheHierarchy uniqueName="[Table1_3].[State]" caption="State" attribute="1" defaultMemberUniqueName="[Table1_3].[State].[All]" allUniqueName="[Table1_3].[State].[All]" dimensionUniqueName="[Table1_3]" displayFolder="" count="2" memberValueDatatype="130" unbalanced="0">
      <fieldsUsage count="2">
        <fieldUsage x="-1"/>
        <fieldUsage x="0"/>
      </fieldsUsage>
    </cacheHierarchy>
    <cacheHierarchy uniqueName="[Table1_3].[Region]" caption="Region" attribute="1" defaultMemberUniqueName="[Table1_3].[Region].[All]" allUniqueName="[Table1_3].[Region].[All]" dimensionUniqueName="[Table1_3]" displayFolder="" count="0" memberValueDatatype="130" unbalanced="0"/>
    <cacheHierarchy uniqueName="[Table1_3].[Location_Type]" caption="Location_Type" attribute="1" defaultMemberUniqueName="[Table1_3].[Location_Type].[All]" allUniqueName="[Table1_3].[Location_Type].[All]" dimensionUniqueName="[Table1_3]" displayFolder="" count="0" memberValueDatatype="130" unbalanced="0"/>
    <cacheHierarchy uniqueName="[Table1_3].[Victims_Count]" caption="Victims_Count" attribute="1" defaultMemberUniqueName="[Table1_3].[Victims_Count].[All]" allUniqueName="[Table1_3].[Victims_Count].[All]" dimensionUniqueName="[Table1_3]" displayFolder="" count="0" memberValueDatatype="20" unbalanced="0"/>
    <cacheHierarchy uniqueName="[Table1_3].[Ransom_Demanded_NGN]" caption="Ransom_Demanded_NGN" attribute="1" defaultMemberUniqueName="[Table1_3].[Ransom_Demanded_NGN].[All]" allUniqueName="[Table1_3].[Ransom_Demanded_NGN].[All]" dimensionUniqueName="[Table1_3]" displayFolder="" count="0" memberValueDatatype="20" unbalanced="0"/>
    <cacheHierarchy uniqueName="[Table1_3].[Ransom_Paid_NGN]" caption="Ransom_Paid_NGN" attribute="1" defaultMemberUniqueName="[Table1_3].[Ransom_Paid_NGN].[All]" allUniqueName="[Table1_3].[Ransom_Paid_NGN].[All]" dimensionUniqueName="[Table1_3]" displayFolder="" count="0" memberValueDatatype="20" unbalanced="0"/>
    <cacheHierarchy uniqueName="[Table1_3].[Ransom_gap]" caption="Ransom_gap" attribute="1" defaultMemberUniqueName="[Table1_3].[Ransom_gap].[All]" allUniqueName="[Table1_3].[Ransom_gap].[All]" dimensionUniqueName="[Table1_3]" displayFolder="" count="0" memberValueDatatype="20" unbalanced="0"/>
    <cacheHierarchy uniqueName="[Table1_3].[Outcome]" caption="Outcome" attribute="1" defaultMemberUniqueName="[Table1_3].[Outcome].[All]" allUniqueName="[Table1_3].[Outcome].[All]" dimensionUniqueName="[Table1_3]" displayFolder="" count="0" memberValueDatatype="130" unbalanced="0"/>
    <cacheHierarchy uniqueName="[Table1_3].[Security_Response]" caption="Security_Response" attribute="1" defaultMemberUniqueName="[Table1_3].[Security_Response].[All]" allUniqueName="[Table1_3].[Security_Response].[All]" dimensionUniqueName="[Table1_3]" displayFolder="" count="0" memberValueDatatype="130" unbalanced="0"/>
    <cacheHierarchy uniqueName="[Table1_3].[Survival_Flap]" caption="Survival_Flap" attribute="1" defaultMemberUniqueName="[Table1_3].[Survival_Flap].[All]" allUniqueName="[Table1_3].[Survival_Flap].[All]" dimensionUniqueName="[Table1_3]" displayFolder="" count="0" memberValueDatatype="130" unbalanced="0"/>
    <cacheHierarchy uniqueName="[Table1_3].[Urban_Rural]" caption="Urban_Rural" attribute="1" defaultMemberUniqueName="[Table1_3].[Urban_Rural].[All]" allUniqueName="[Table1_3].[Urban_Rural].[All]" dimensionUniqueName="[Table1_3]" displayFolder="" count="0" memberValueDatatype="130" unbalanced="0"/>
    <cacheHierarchy uniqueName="[Table1_3].[Latitude]" caption="Latitude" attribute="1" defaultMemberUniqueName="[Table1_3].[Latitude].[All]" allUniqueName="[Table1_3].[Latitude].[All]" dimensionUniqueName="[Table1_3]" displayFolder="" count="0" memberValueDatatype="5" unbalanced="0"/>
    <cacheHierarchy uniqueName="[Table1_3].[Longitude]" caption="Longitude" attribute="1" defaultMemberUniqueName="[Table1_3].[Longitude].[All]" allUniqueName="[Table1_3].[Longitude].[All]" dimensionUniqueName="[Table1_3]" displayFolder="" count="0" memberValueDatatype="5" unbalanced="0"/>
    <cacheHierarchy uniqueName="[Measures].[__XL_Count Table1_2]" caption="__XL_Count Table1_2" measure="1" displayFolder="" measureGroup="Table1_2" count="0" hidden="1"/>
    <cacheHierarchy uniqueName="[Measures].[__XL_Count Table1_3]" caption="__XL_Count Table1_3" measure="1" displayFolder="" measureGroup="Table1_3" count="0" hidden="1"/>
    <cacheHierarchy uniqueName="[Measures].[__No measures defined]" caption="__No measures defined" measure="1" displayFolder="" count="0" hidden="1"/>
    <cacheHierarchy uniqueName="[Measures].[Count of State]" caption="Count of State" measure="1" displayFolder="" measureGroup="Table1_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Incident_ID]" caption="Count of Incident_ID" measure="1" displayFolder="" measureGroup="Table1_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Victims_Count]" caption="Sum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Ransom_gap]" caption="Sum of Ransom_gap" measure="1" displayFolder="" measureGroup="Table1_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Ransom_Demanded_NGN]" caption="Sum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Ransom_Paid_NGN]" caption="Sum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Outcome]" caption="Count of Outcome" measure="1" displayFolder="" measureGroup="Table1_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Security_Response]" caption="Count of Security_Response" measure="1" displayFolder="" measureGroup="Table1_3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Average of Ransom_Demanded_NGN]" caption="Average of Ransom_Demande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Ransom_Paid_NGN]" caption="Average of Ransom_Paid_NGN" measure="1" displayFolder="" measureGroup="Table1_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Victims_Count]" caption="Count of Victims_Count" measure="1" displayFolder="" measureGroup="Table1_3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3">
    <dimension measure="1" name="Measures" uniqueName="[Measures]" caption="Measures"/>
    <dimension name="Table1_2" uniqueName="[Table1_2]" caption="Table1_2"/>
    <dimension name="Table1_3" uniqueName="[Table1_3]" caption="Table1_3"/>
  </dimensions>
  <measureGroups count="2">
    <measureGroup name="Table1_2" caption="Table1_2"/>
    <measureGroup name="Table1_3" caption="Table1_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n v="25"/>
  </r>
  <r>
    <x v="1"/>
    <n v="16"/>
  </r>
  <r>
    <x v="2"/>
    <n v="11"/>
  </r>
  <r>
    <x v="3"/>
    <n v="14"/>
  </r>
  <r>
    <x v="4"/>
    <n v="9"/>
  </r>
  <r>
    <x v="5"/>
    <n v="23"/>
  </r>
  <r>
    <x v="6"/>
    <n v="13"/>
  </r>
  <r>
    <x v="7"/>
    <n v="16"/>
  </r>
  <r>
    <x v="8"/>
    <n v="10"/>
  </r>
  <r>
    <x v="9"/>
    <n v="12"/>
  </r>
  <r>
    <x v="10"/>
    <n v="14"/>
  </r>
  <r>
    <x v="11"/>
    <n v="14"/>
  </r>
  <r>
    <x v="12"/>
    <n v="23"/>
  </r>
  <r>
    <x v="13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2ED14D-C4B7-4A0A-B09B-9A1DE75A1CE8}" name="PivotTable2" cacheId="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7">
  <location ref="D3:E1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Incident_ID" fld="0" subtotal="count" baseField="0" baseItem="0"/>
  </dataFields>
  <chartFormats count="7">
    <chartFormat chart="6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2D374-7A13-4D9B-9989-7EB12C1EF355}" name="PivotTable2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55:J56" firstHeaderRow="1" firstDataRow="1" firstDataCol="0"/>
  <pivotFields count="2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Items count="1">
    <i/>
  </rowItems>
  <colItems count="1">
    <i/>
  </colItems>
  <dataFields count="1">
    <dataField name="Count of Incident_ID" fld="1" subtotal="count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B8FAA-77E6-4C3B-B12F-BDB7BF17E0A4}" name="PivotTable20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E52:I54" firstHeaderRow="1" firstDataRow="2" firstDataCol="1"/>
  <pivotFields count="3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ictims_Count" fld="2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colHierarchiesUsage count="1">
    <colHierarchyUsage hierarchyUsage="3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CF286-2650-49F7-B140-A90F21B0F49D}" name="PivotTable2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52:J53" firstHeaderRow="1" firstDataRow="1" firstDataCol="0"/>
  <pivotFields count="2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Items count="1">
    <i/>
  </rowItems>
  <colItems count="1">
    <i/>
  </colItems>
  <dataFields count="1">
    <dataField name="Sum of Victims_Count" fld="1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310B45-EBEE-48C7-BCE9-B7B36758F033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24:B27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Incident_ID" fld="0" subtotal="count" baseField="0" baseItem="0"/>
  </dataFields>
  <chartFormats count="9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8C2AB-E0DE-42EF-A73D-53985BFE2762}" name="PivotTable19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52:B60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8">
    <i>
      <x v="1"/>
    </i>
    <i>
      <x v="4"/>
    </i>
    <i>
      <x v="3"/>
    </i>
    <i>
      <x/>
    </i>
    <i>
      <x v="6"/>
    </i>
    <i>
      <x v="2"/>
    </i>
    <i>
      <x v="5"/>
    </i>
    <i t="grand">
      <x/>
    </i>
  </rowItems>
  <colItems count="1">
    <i/>
  </colItems>
  <dataFields count="1">
    <dataField name="Count of Incident_ID" fld="0" subtotal="count" baseField="0" baseItem="0"/>
  </dataFields>
  <chartFormats count="1"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1B383-DC3A-430D-8403-C112D50B642C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D24:I30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Outcome" fld="1" subtotal="count" baseField="0" baseItem="0"/>
  </dataFields>
  <chartFormats count="8"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F515BF-FB2D-4251-AA18-55F51DD3987A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">
    <pivotField axis="axisRow" allDrilled="1" subtotalTop="0" showAll="0" sortType="de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4">
    <i>
      <x/>
    </i>
    <i>
      <x v="12"/>
    </i>
    <i>
      <x v="5"/>
    </i>
    <i>
      <x v="1"/>
    </i>
    <i>
      <x v="7"/>
    </i>
    <i>
      <x v="3"/>
    </i>
    <i>
      <x v="11"/>
    </i>
    <i>
      <x v="10"/>
    </i>
    <i>
      <x v="6"/>
    </i>
    <i>
      <x v="9"/>
    </i>
    <i>
      <x v="2"/>
    </i>
    <i>
      <x v="8"/>
    </i>
    <i>
      <x v="4"/>
    </i>
    <i t="grand">
      <x/>
    </i>
  </rowItems>
  <colItems count="1">
    <i/>
  </colItems>
  <dataFields count="1">
    <dataField name="Count of Incident_ID" fld="1" subtotal="count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5CDE3-3222-443A-B160-2C37DF44CBCB}" name="PivotTable2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E57:I65" firstHeaderRow="1" firstDataRow="2" firstDataCol="1"/>
  <pivotFields count="4">
    <pivotField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ictims_Count" fld="2" baseField="0" baseItem="0"/>
  </dataFields>
  <chartFormats count="3">
    <chartFormat chart="8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um of Victims_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Victims_Count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3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102D13-0DEA-46EB-B8E2-EA9B699D30D2}" name="PivotTable3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9">
  <location ref="D13:F20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Ransom_Demanded_NGN" fld="1" subtotal="average" baseField="0" baseItem="1"/>
    <dataField name="Average of Ransom_Paid_NGN" fld="2" subtotal="average" baseField="0" baseItem="1"/>
  </dataFields>
  <formats count="3">
    <format dxfId="11">
      <pivotArea grandRow="1" outline="0" collapsedLevelsAreSubtotals="1" fieldPosition="0"/>
    </format>
    <format dxfId="10">
      <pivotArea outline="0" collapsedLevelsAreSubtotals="1" fieldPosition="0"/>
    </format>
    <format dxfId="9">
      <pivotArea collapsedLevelsAreSubtotals="1" fieldPosition="0">
        <references count="1">
          <reference field="0" count="0"/>
        </references>
      </pivotArea>
    </format>
  </formats>
  <chartFormats count="2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ansom_Demanded_NGN"/>
    <pivotHierarchy dragToData="1" caption="Average of Ransom_Paid_NGN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90AD5A-9B2A-4644-85DC-FA8DE4BD73EC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D33:G47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ount of Incident_ID" fld="1" subtotal="count" baseField="0" baseItem="0"/>
  </dataFields>
  <chartFormats count="2"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colHierarchiesUsage count="1">
    <colHierarchyUsage hierarchyUsage="2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nigeria_kidnapping_dataset grp.xlsx!Table1_3">
        <x15:activeTabTopLevelEntity name="[Table1_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D40726-3C6D-4A05-AD2E-119F8548D63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B15" firstHeaderRow="1" firstDataRow="1" firstDataCol="1"/>
  <pivotFields count="2">
    <pivotField axis="axisRow" showAll="0">
      <items count="15">
        <item x="0"/>
        <item x="1"/>
        <item x="2"/>
        <item x="3"/>
        <item x="4"/>
        <item h="1" x="13"/>
        <item x="5"/>
        <item x="6"/>
        <item x="7"/>
        <item x="8"/>
        <item x="9"/>
        <item x="10"/>
        <item x="11"/>
        <item x="12"/>
        <item t="default"/>
      </items>
    </pivotField>
    <pivotField dataFiel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Count of Incident_ID" fld="1" baseField="0" baseItem="0"/>
  </dataField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4ECCA8FE-0814-48E5-AD48-0A8D2503EECD}" autoFormatId="16" applyNumberFormats="0" applyBorderFormats="0" applyFontFormats="0" applyPatternFormats="0" applyAlignmentFormats="0" applyWidthHeightFormats="0">
  <queryTableRefresh nextId="18">
    <queryTableFields count="17">
      <queryTableField id="1" name="Incident_ID" tableColumnId="1"/>
      <queryTableField id="2" name="Date" tableColumnId="2"/>
      <queryTableField id="3" name="Month" tableColumnId="3"/>
      <queryTableField id="4" name="Year" tableColumnId="4"/>
      <queryTableField id="5" name="State" tableColumnId="5"/>
      <queryTableField id="6" name="Region" tableColumnId="6"/>
      <queryTableField id="7" name="Location_Type" tableColumnId="7"/>
      <queryTableField id="8" name="Victims_Count" tableColumnId="8"/>
      <queryTableField id="9" name="Ransom_Demanded_NGN" tableColumnId="9"/>
      <queryTableField id="10" name="Ransom_Paid_NGN" tableColumnId="10"/>
      <queryTableField id="11" name="Ransom_gap" tableColumnId="11"/>
      <queryTableField id="12" name="Outcome" tableColumnId="12"/>
      <queryTableField id="13" name="Security_Response" tableColumnId="13"/>
      <queryTableField id="14" name="Survival_Flap" tableColumnId="14"/>
      <queryTableField id="15" name="Urban_Rural" tableColumnId="15"/>
      <queryTableField id="16" name="Latitude" tableColumnId="16"/>
      <queryTableField id="17" name="Longitude" tableColumnId="17"/>
    </queryTableFields>
  </queryTableRefresh>
  <extLst>
    <ext xmlns:x15="http://schemas.microsoft.com/office/spreadsheetml/2010/11/main" uri="{883FBD77-0823-4a55-B5E3-86C4891E6966}">
      <x15:queryTable sourceDataName="Query - Table1_2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1BAC87-E6E5-476F-BFF5-527EC47823E4}" name="Table1_3" displayName="Table1_3" ref="A1:Q201" tableType="queryTable" totalsRowShown="0">
  <autoFilter ref="A1:Q201" xr:uid="{4A1BAC87-E6E5-476F-BFF5-527EC47823E4}"/>
  <tableColumns count="17">
    <tableColumn id="1" xr3:uid="{9A13DDE5-A9BF-4C8B-8FB5-39B1D1EB6031}" uniqueName="1" name="Incident_ID" queryTableFieldId="1" dataDxfId="8"/>
    <tableColumn id="2" xr3:uid="{15B09650-DF9A-4CC0-8CBF-F83F71D85D1E}" uniqueName="2" name="Date" queryTableFieldId="2" dataDxfId="7"/>
    <tableColumn id="3" xr3:uid="{AE65A083-09AB-4C1C-965A-6A8B43AA8FD4}" uniqueName="3" name="Month" queryTableFieldId="3" dataDxfId="6"/>
    <tableColumn id="4" xr3:uid="{49E91BE9-D7CE-47BB-A88A-F355349F50D2}" uniqueName="4" name="Year" queryTableFieldId="4"/>
    <tableColumn id="5" xr3:uid="{402C3A22-B01E-44B6-94F6-ECBAE41A98FC}" uniqueName="5" name="State" queryTableFieldId="5" dataDxfId="5"/>
    <tableColumn id="6" xr3:uid="{44E6E82C-BB2B-428F-AE4E-94179F2405FD}" uniqueName="6" name="Region" queryTableFieldId="6" dataDxfId="4"/>
    <tableColumn id="7" xr3:uid="{1D646602-D976-4308-8A2B-7DABA9326A14}" uniqueName="7" name="Location_Type" queryTableFieldId="7" dataDxfId="3"/>
    <tableColumn id="8" xr3:uid="{E37C83C1-5982-4058-B473-9281E65749ED}" uniqueName="8" name="Victims_Count" queryTableFieldId="8"/>
    <tableColumn id="9" xr3:uid="{CD42DC13-B75D-4FEF-8324-67FCD551A351}" uniqueName="9" name="Ransom_Demanded_NGN" queryTableFieldId="9"/>
    <tableColumn id="10" xr3:uid="{00B7E2F5-686D-42C2-962E-6342B461030D}" uniqueName="10" name="Ransom_Paid_NGN" queryTableFieldId="10"/>
    <tableColumn id="11" xr3:uid="{8A068B7B-3222-45E6-AB02-A011F6F50AD9}" uniqueName="11" name="Ransom_gap" queryTableFieldId="11"/>
    <tableColumn id="12" xr3:uid="{18AE546E-0EC0-46A7-A67D-0286BC144D8F}" uniqueName="12" name="Outcome" queryTableFieldId="12" dataDxfId="2"/>
    <tableColumn id="13" xr3:uid="{C4389692-3614-429B-900B-A36393519E6E}" uniqueName="13" name="Security_Response" queryTableFieldId="13" dataDxfId="1"/>
    <tableColumn id="14" xr3:uid="{757A770D-D40C-43D3-B1A7-C10AEC68571D}" uniqueName="14" name="Survival_Flap" queryTableFieldId="14"/>
    <tableColumn id="15" xr3:uid="{EBA63084-A6B9-42A0-A951-6E12857E6C96}" uniqueName="15" name="Urban_Rural" queryTableFieldId="15" dataDxfId="0"/>
    <tableColumn id="16" xr3:uid="{A5B78106-AF37-413E-98C2-600341903A76}" uniqueName="16" name="Latitude" queryTableFieldId="16"/>
    <tableColumn id="17" xr3:uid="{E83F5747-AD48-4F79-B5A9-2AC3145C3B23}" uniqueName="17" name="Longitude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D42B-8988-4F0C-B7A1-A17833F9EE31}">
  <dimension ref="A3:R71"/>
  <sheetViews>
    <sheetView topLeftCell="A20" zoomScale="86" zoomScaleNormal="86" workbookViewId="0">
      <selection activeCell="A55" sqref="A55"/>
    </sheetView>
  </sheetViews>
  <sheetFormatPr defaultRowHeight="15" x14ac:dyDescent="0.25"/>
  <cols>
    <col min="1" max="1" width="13.140625" bestFit="1" customWidth="1"/>
    <col min="2" max="2" width="19.42578125" bestFit="1" customWidth="1"/>
    <col min="3" max="3" width="5" bestFit="1" customWidth="1"/>
    <col min="4" max="4" width="11.28515625" bestFit="1" customWidth="1"/>
    <col min="5" max="5" width="20.7109375" bestFit="1" customWidth="1"/>
    <col min="6" max="6" width="16.28515625" bestFit="1" customWidth="1"/>
    <col min="7" max="7" width="5.5703125" bestFit="1" customWidth="1"/>
    <col min="8" max="8" width="9.5703125" bestFit="1" customWidth="1"/>
    <col min="9" max="9" width="11.28515625" bestFit="1" customWidth="1"/>
    <col min="10" max="11" width="19.42578125" bestFit="1" customWidth="1"/>
    <col min="12" max="12" width="4.5703125" bestFit="1" customWidth="1"/>
    <col min="13" max="13" width="4.85546875" bestFit="1" customWidth="1"/>
    <col min="14" max="14" width="4.5703125" bestFit="1" customWidth="1"/>
    <col min="15" max="15" width="4" bestFit="1" customWidth="1"/>
    <col min="16" max="16" width="4.28515625" bestFit="1" customWidth="1"/>
    <col min="17" max="17" width="11.28515625" bestFit="1" customWidth="1"/>
    <col min="18" max="18" width="4.28515625" bestFit="1" customWidth="1"/>
    <col min="19" max="19" width="3.85546875" bestFit="1" customWidth="1"/>
    <col min="20" max="20" width="4.5703125" bestFit="1" customWidth="1"/>
    <col min="21" max="21" width="4.85546875" bestFit="1" customWidth="1"/>
    <col min="22" max="22" width="11.28515625" bestFit="1" customWidth="1"/>
  </cols>
  <sheetData>
    <row r="3" spans="1:18" x14ac:dyDescent="0.25">
      <c r="A3" s="2" t="s">
        <v>268</v>
      </c>
      <c r="B3" t="s">
        <v>270</v>
      </c>
      <c r="D3" s="2" t="s">
        <v>268</v>
      </c>
      <c r="E3" t="s">
        <v>270</v>
      </c>
      <c r="N3" s="3" t="s">
        <v>61</v>
      </c>
      <c r="O3">
        <v>25</v>
      </c>
    </row>
    <row r="4" spans="1:18" x14ac:dyDescent="0.25">
      <c r="A4" s="3" t="s">
        <v>61</v>
      </c>
      <c r="B4">
        <v>25</v>
      </c>
      <c r="D4" s="3" t="s">
        <v>28</v>
      </c>
      <c r="E4">
        <v>36</v>
      </c>
      <c r="N4" s="3" t="s">
        <v>14</v>
      </c>
      <c r="O4">
        <v>16</v>
      </c>
    </row>
    <row r="5" spans="1:18" x14ac:dyDescent="0.25">
      <c r="A5" s="3" t="s">
        <v>65</v>
      </c>
      <c r="B5">
        <v>23</v>
      </c>
      <c r="D5" s="3" t="s">
        <v>55</v>
      </c>
      <c r="E5">
        <v>14</v>
      </c>
      <c r="N5" s="3" t="s">
        <v>27</v>
      </c>
      <c r="O5">
        <v>11</v>
      </c>
      <c r="Q5" s="3" t="s">
        <v>28</v>
      </c>
      <c r="R5">
        <v>36</v>
      </c>
    </row>
    <row r="6" spans="1:18" x14ac:dyDescent="0.25">
      <c r="A6" s="3" t="s">
        <v>36</v>
      </c>
      <c r="B6">
        <v>23</v>
      </c>
      <c r="D6" s="3" t="s">
        <v>37</v>
      </c>
      <c r="E6">
        <v>75</v>
      </c>
      <c r="N6" s="3" t="s">
        <v>54</v>
      </c>
      <c r="O6">
        <v>14</v>
      </c>
      <c r="Q6" s="3" t="s">
        <v>55</v>
      </c>
      <c r="R6">
        <v>14</v>
      </c>
    </row>
    <row r="7" spans="1:18" x14ac:dyDescent="0.25">
      <c r="A7" s="3" t="s">
        <v>14</v>
      </c>
      <c r="B7">
        <v>16</v>
      </c>
      <c r="D7" s="3" t="s">
        <v>15</v>
      </c>
      <c r="E7">
        <v>16</v>
      </c>
      <c r="N7" s="3" t="s">
        <v>21</v>
      </c>
      <c r="O7">
        <v>9</v>
      </c>
      <c r="Q7" s="3" t="s">
        <v>37</v>
      </c>
      <c r="R7">
        <v>75</v>
      </c>
    </row>
    <row r="8" spans="1:18" x14ac:dyDescent="0.25">
      <c r="A8" s="3" t="s">
        <v>44</v>
      </c>
      <c r="B8">
        <v>16</v>
      </c>
      <c r="D8" s="3" t="s">
        <v>22</v>
      </c>
      <c r="E8">
        <v>23</v>
      </c>
      <c r="N8" s="3" t="s">
        <v>36</v>
      </c>
      <c r="O8">
        <v>23</v>
      </c>
      <c r="Q8" s="3" t="s">
        <v>15</v>
      </c>
      <c r="R8">
        <v>16</v>
      </c>
    </row>
    <row r="9" spans="1:18" x14ac:dyDescent="0.25">
      <c r="A9" s="3" t="s">
        <v>54</v>
      </c>
      <c r="B9">
        <v>14</v>
      </c>
      <c r="D9" s="3" t="s">
        <v>50</v>
      </c>
      <c r="E9">
        <v>36</v>
      </c>
      <c r="N9" s="3" t="s">
        <v>52</v>
      </c>
      <c r="O9">
        <v>13</v>
      </c>
      <c r="Q9" s="3" t="s">
        <v>22</v>
      </c>
      <c r="R9">
        <v>23</v>
      </c>
    </row>
    <row r="10" spans="1:18" x14ac:dyDescent="0.25">
      <c r="A10" s="3" t="s">
        <v>33</v>
      </c>
      <c r="B10">
        <v>14</v>
      </c>
      <c r="D10" s="3" t="s">
        <v>269</v>
      </c>
      <c r="E10">
        <v>200</v>
      </c>
      <c r="N10" s="3" t="s">
        <v>44</v>
      </c>
      <c r="O10">
        <v>16</v>
      </c>
      <c r="Q10" s="3" t="s">
        <v>50</v>
      </c>
      <c r="R10">
        <v>36</v>
      </c>
    </row>
    <row r="11" spans="1:18" x14ac:dyDescent="0.25">
      <c r="A11" s="3" t="s">
        <v>49</v>
      </c>
      <c r="B11">
        <v>14</v>
      </c>
      <c r="N11" s="3" t="s">
        <v>67</v>
      </c>
      <c r="O11">
        <v>10</v>
      </c>
    </row>
    <row r="12" spans="1:18" x14ac:dyDescent="0.25">
      <c r="A12" s="3" t="s">
        <v>52</v>
      </c>
      <c r="B12">
        <v>13</v>
      </c>
      <c r="N12" s="3" t="s">
        <v>58</v>
      </c>
      <c r="O12">
        <v>12</v>
      </c>
    </row>
    <row r="13" spans="1:18" x14ac:dyDescent="0.25">
      <c r="A13" s="3" t="s">
        <v>58</v>
      </c>
      <c r="B13">
        <v>12</v>
      </c>
      <c r="D13" s="2" t="s">
        <v>268</v>
      </c>
      <c r="E13" t="s">
        <v>274</v>
      </c>
      <c r="F13" t="s">
        <v>275</v>
      </c>
      <c r="N13" s="3" t="s">
        <v>49</v>
      </c>
      <c r="O13">
        <v>14</v>
      </c>
    </row>
    <row r="14" spans="1:18" x14ac:dyDescent="0.25">
      <c r="A14" s="3" t="s">
        <v>27</v>
      </c>
      <c r="B14">
        <v>11</v>
      </c>
      <c r="D14" s="3" t="s">
        <v>28</v>
      </c>
      <c r="E14" s="6">
        <v>38299281.305555552</v>
      </c>
      <c r="F14" s="6">
        <v>21673400.472222224</v>
      </c>
      <c r="H14" s="3" t="s">
        <v>28</v>
      </c>
      <c r="I14" s="6">
        <v>38299281.305555552</v>
      </c>
      <c r="J14" s="6">
        <v>21673400.472222224</v>
      </c>
      <c r="N14" s="3" t="s">
        <v>33</v>
      </c>
      <c r="O14">
        <v>14</v>
      </c>
    </row>
    <row r="15" spans="1:18" x14ac:dyDescent="0.25">
      <c r="A15" s="3" t="s">
        <v>67</v>
      </c>
      <c r="B15">
        <v>10</v>
      </c>
      <c r="D15" s="3" t="s">
        <v>55</v>
      </c>
      <c r="E15" s="6">
        <v>59107514.714285716</v>
      </c>
      <c r="F15" s="6">
        <v>18463770.571428571</v>
      </c>
      <c r="H15" s="3" t="s">
        <v>55</v>
      </c>
      <c r="I15" s="6">
        <v>59107514.714285716</v>
      </c>
      <c r="J15" s="6">
        <v>18463770.571428571</v>
      </c>
      <c r="N15" s="3" t="s">
        <v>65</v>
      </c>
      <c r="O15">
        <v>23</v>
      </c>
    </row>
    <row r="16" spans="1:18" x14ac:dyDescent="0.25">
      <c r="A16" s="3" t="s">
        <v>21</v>
      </c>
      <c r="B16">
        <v>9</v>
      </c>
      <c r="D16" s="3" t="s">
        <v>37</v>
      </c>
      <c r="E16" s="6">
        <v>37960950.826666668</v>
      </c>
      <c r="F16" s="6">
        <v>12623663.48</v>
      </c>
      <c r="H16" s="3" t="s">
        <v>37</v>
      </c>
      <c r="I16" s="6">
        <v>37960950.826666668</v>
      </c>
      <c r="J16" s="6">
        <v>12623663.48</v>
      </c>
    </row>
    <row r="17" spans="1:10" x14ac:dyDescent="0.25">
      <c r="A17" s="3" t="s">
        <v>269</v>
      </c>
      <c r="B17">
        <v>200</v>
      </c>
      <c r="D17" s="3" t="s">
        <v>15</v>
      </c>
      <c r="E17" s="6">
        <v>34256171</v>
      </c>
      <c r="F17" s="6">
        <v>9995479.875</v>
      </c>
      <c r="H17" s="3" t="s">
        <v>15</v>
      </c>
      <c r="I17" s="6">
        <v>34256171</v>
      </c>
      <c r="J17" s="6">
        <v>9995479.875</v>
      </c>
    </row>
    <row r="18" spans="1:10" x14ac:dyDescent="0.25">
      <c r="D18" s="3" t="s">
        <v>22</v>
      </c>
      <c r="E18" s="6">
        <v>32143816.260869566</v>
      </c>
      <c r="F18" s="6">
        <v>20760651.869565219</v>
      </c>
      <c r="H18" s="3" t="s">
        <v>22</v>
      </c>
      <c r="I18" s="6">
        <v>32143816.260869566</v>
      </c>
      <c r="J18" s="6">
        <v>20760651.869565219</v>
      </c>
    </row>
    <row r="19" spans="1:10" x14ac:dyDescent="0.25">
      <c r="D19" s="3" t="s">
        <v>50</v>
      </c>
      <c r="E19" s="6">
        <v>37721681.611111112</v>
      </c>
      <c r="F19" s="6">
        <v>12920803.138888888</v>
      </c>
      <c r="H19" s="3" t="s">
        <v>50</v>
      </c>
      <c r="I19" s="6">
        <v>37721681.611111112</v>
      </c>
      <c r="J19" s="6">
        <v>12920803.138888888</v>
      </c>
    </row>
    <row r="20" spans="1:10" x14ac:dyDescent="0.25">
      <c r="D20" s="3" t="s">
        <v>269</v>
      </c>
      <c r="E20" s="4">
        <v>38493688.465000004</v>
      </c>
      <c r="F20" s="4">
        <v>15440407.75</v>
      </c>
    </row>
    <row r="24" spans="1:10" x14ac:dyDescent="0.25">
      <c r="A24" s="2" t="s">
        <v>268</v>
      </c>
      <c r="B24" t="s">
        <v>270</v>
      </c>
      <c r="D24" s="2" t="s">
        <v>271</v>
      </c>
      <c r="E24" s="2" t="s">
        <v>272</v>
      </c>
    </row>
    <row r="25" spans="1:10" x14ac:dyDescent="0.25">
      <c r="A25" s="3" t="s">
        <v>39</v>
      </c>
      <c r="B25">
        <v>118</v>
      </c>
      <c r="D25" s="2" t="s">
        <v>268</v>
      </c>
      <c r="E25" t="s">
        <v>30</v>
      </c>
      <c r="F25" t="s">
        <v>17</v>
      </c>
      <c r="G25" t="s">
        <v>24</v>
      </c>
      <c r="H25" t="s">
        <v>69</v>
      </c>
      <c r="I25" t="s">
        <v>269</v>
      </c>
    </row>
    <row r="26" spans="1:10" x14ac:dyDescent="0.25">
      <c r="A26" s="3" t="s">
        <v>19</v>
      </c>
      <c r="B26">
        <v>82</v>
      </c>
      <c r="D26" s="3" t="s">
        <v>31</v>
      </c>
      <c r="E26">
        <v>25</v>
      </c>
      <c r="F26">
        <v>10</v>
      </c>
      <c r="G26">
        <v>15</v>
      </c>
      <c r="H26">
        <v>10</v>
      </c>
      <c r="I26">
        <v>60</v>
      </c>
      <c r="J26" s="4"/>
    </row>
    <row r="27" spans="1:10" x14ac:dyDescent="0.25">
      <c r="A27" s="3" t="s">
        <v>269</v>
      </c>
      <c r="B27">
        <v>200</v>
      </c>
      <c r="D27" s="3" t="s">
        <v>25</v>
      </c>
      <c r="E27">
        <v>8</v>
      </c>
      <c r="F27">
        <v>21</v>
      </c>
      <c r="G27">
        <v>16</v>
      </c>
      <c r="H27">
        <v>9</v>
      </c>
      <c r="I27">
        <v>54</v>
      </c>
    </row>
    <row r="28" spans="1:10" x14ac:dyDescent="0.25">
      <c r="D28" s="3" t="s">
        <v>34</v>
      </c>
      <c r="E28">
        <v>7</v>
      </c>
      <c r="F28">
        <v>5</v>
      </c>
      <c r="G28">
        <v>10</v>
      </c>
      <c r="H28">
        <v>16</v>
      </c>
      <c r="I28">
        <v>38</v>
      </c>
    </row>
    <row r="29" spans="1:10" x14ac:dyDescent="0.25">
      <c r="D29" s="3" t="s">
        <v>18</v>
      </c>
      <c r="E29">
        <v>16</v>
      </c>
      <c r="F29">
        <v>14</v>
      </c>
      <c r="G29">
        <v>13</v>
      </c>
      <c r="H29">
        <v>5</v>
      </c>
      <c r="I29">
        <v>48</v>
      </c>
    </row>
    <row r="30" spans="1:10" x14ac:dyDescent="0.25">
      <c r="D30" s="3" t="s">
        <v>269</v>
      </c>
      <c r="E30">
        <v>56</v>
      </c>
      <c r="F30">
        <v>50</v>
      </c>
      <c r="G30">
        <v>54</v>
      </c>
      <c r="H30">
        <v>40</v>
      </c>
      <c r="I30">
        <v>200</v>
      </c>
    </row>
    <row r="33" spans="4:13" x14ac:dyDescent="0.25">
      <c r="D33" s="2" t="s">
        <v>270</v>
      </c>
      <c r="E33" s="2" t="s">
        <v>272</v>
      </c>
    </row>
    <row r="34" spans="4:13" x14ac:dyDescent="0.25">
      <c r="D34" s="2" t="s">
        <v>268</v>
      </c>
      <c r="E34">
        <v>2023</v>
      </c>
      <c r="F34">
        <v>2024</v>
      </c>
      <c r="G34" t="s">
        <v>269</v>
      </c>
    </row>
    <row r="35" spans="4:13" x14ac:dyDescent="0.25">
      <c r="D35" s="3" t="s">
        <v>253</v>
      </c>
      <c r="E35">
        <v>15</v>
      </c>
      <c r="F35">
        <v>15</v>
      </c>
      <c r="G35">
        <v>30</v>
      </c>
      <c r="I35" s="3" t="s">
        <v>31</v>
      </c>
      <c r="J35">
        <v>25</v>
      </c>
      <c r="K35">
        <v>10</v>
      </c>
      <c r="L35">
        <v>15</v>
      </c>
      <c r="M35">
        <v>10</v>
      </c>
    </row>
    <row r="36" spans="4:13" x14ac:dyDescent="0.25">
      <c r="D36" s="3" t="s">
        <v>255</v>
      </c>
      <c r="E36">
        <v>12</v>
      </c>
      <c r="F36">
        <v>12</v>
      </c>
      <c r="G36">
        <v>24</v>
      </c>
      <c r="I36" s="3" t="s">
        <v>25</v>
      </c>
      <c r="J36">
        <v>8</v>
      </c>
      <c r="K36">
        <v>21</v>
      </c>
      <c r="L36">
        <v>16</v>
      </c>
      <c r="M36">
        <v>9</v>
      </c>
    </row>
    <row r="37" spans="4:13" x14ac:dyDescent="0.25">
      <c r="D37" s="3" t="s">
        <v>256</v>
      </c>
      <c r="E37">
        <v>18</v>
      </c>
      <c r="F37">
        <v>10</v>
      </c>
      <c r="G37">
        <v>28</v>
      </c>
      <c r="I37" s="3" t="s">
        <v>34</v>
      </c>
      <c r="J37">
        <v>7</v>
      </c>
      <c r="K37">
        <v>5</v>
      </c>
      <c r="L37">
        <v>10</v>
      </c>
      <c r="M37">
        <v>16</v>
      </c>
    </row>
    <row r="38" spans="4:13" x14ac:dyDescent="0.25">
      <c r="D38" s="3" t="s">
        <v>258</v>
      </c>
      <c r="E38">
        <v>7</v>
      </c>
      <c r="F38">
        <v>6</v>
      </c>
      <c r="G38">
        <v>13</v>
      </c>
      <c r="I38" s="3" t="s">
        <v>18</v>
      </c>
      <c r="J38">
        <v>16</v>
      </c>
      <c r="K38">
        <v>14</v>
      </c>
      <c r="L38">
        <v>13</v>
      </c>
      <c r="M38">
        <v>5</v>
      </c>
    </row>
    <row r="39" spans="4:13" x14ac:dyDescent="0.25">
      <c r="D39" s="3" t="s">
        <v>259</v>
      </c>
      <c r="E39">
        <v>14</v>
      </c>
      <c r="F39">
        <v>6</v>
      </c>
      <c r="G39">
        <v>20</v>
      </c>
    </row>
    <row r="40" spans="4:13" x14ac:dyDescent="0.25">
      <c r="D40" s="3" t="s">
        <v>252</v>
      </c>
      <c r="E40">
        <v>6</v>
      </c>
      <c r="G40">
        <v>6</v>
      </c>
    </row>
    <row r="41" spans="4:13" x14ac:dyDescent="0.25">
      <c r="D41" s="3" t="s">
        <v>261</v>
      </c>
      <c r="E41">
        <v>10</v>
      </c>
      <c r="G41">
        <v>10</v>
      </c>
    </row>
    <row r="42" spans="4:13" x14ac:dyDescent="0.25">
      <c r="D42" s="3" t="s">
        <v>254</v>
      </c>
      <c r="E42">
        <v>14</v>
      </c>
      <c r="G42">
        <v>14</v>
      </c>
    </row>
    <row r="43" spans="4:13" x14ac:dyDescent="0.25">
      <c r="D43" s="3" t="s">
        <v>257</v>
      </c>
      <c r="E43">
        <v>16</v>
      </c>
      <c r="G43">
        <v>16</v>
      </c>
    </row>
    <row r="44" spans="4:13" x14ac:dyDescent="0.25">
      <c r="D44" s="3" t="s">
        <v>251</v>
      </c>
      <c r="E44">
        <v>13</v>
      </c>
      <c r="G44">
        <v>13</v>
      </c>
    </row>
    <row r="45" spans="4:13" x14ac:dyDescent="0.25">
      <c r="D45" s="3" t="s">
        <v>260</v>
      </c>
      <c r="E45">
        <v>11</v>
      </c>
      <c r="G45">
        <v>11</v>
      </c>
    </row>
    <row r="46" spans="4:13" x14ac:dyDescent="0.25">
      <c r="D46" s="3" t="s">
        <v>262</v>
      </c>
      <c r="E46">
        <v>15</v>
      </c>
      <c r="G46">
        <v>15</v>
      </c>
    </row>
    <row r="47" spans="4:13" x14ac:dyDescent="0.25">
      <c r="D47" s="3" t="s">
        <v>269</v>
      </c>
      <c r="E47">
        <v>151</v>
      </c>
      <c r="F47">
        <v>49</v>
      </c>
      <c r="G47">
        <v>200</v>
      </c>
    </row>
    <row r="52" spans="1:14" x14ac:dyDescent="0.25">
      <c r="A52" s="2" t="s">
        <v>268</v>
      </c>
      <c r="B52" t="s">
        <v>270</v>
      </c>
      <c r="F52" s="2" t="s">
        <v>272</v>
      </c>
      <c r="J52" t="s">
        <v>276</v>
      </c>
    </row>
    <row r="53" spans="1:14" x14ac:dyDescent="0.25">
      <c r="A53" s="3" t="s">
        <v>29</v>
      </c>
      <c r="B53">
        <v>34</v>
      </c>
      <c r="F53" t="s">
        <v>265</v>
      </c>
      <c r="G53" t="s">
        <v>267</v>
      </c>
      <c r="H53" t="s">
        <v>266</v>
      </c>
      <c r="I53" t="s">
        <v>269</v>
      </c>
      <c r="J53">
        <v>4134</v>
      </c>
    </row>
    <row r="54" spans="1:14" x14ac:dyDescent="0.25">
      <c r="A54" s="3" t="s">
        <v>23</v>
      </c>
      <c r="B54">
        <v>33</v>
      </c>
      <c r="E54" t="s">
        <v>276</v>
      </c>
      <c r="F54">
        <v>1802</v>
      </c>
      <c r="G54">
        <v>1184</v>
      </c>
      <c r="H54">
        <v>1148</v>
      </c>
      <c r="I54">
        <v>4134</v>
      </c>
    </row>
    <row r="55" spans="1:14" x14ac:dyDescent="0.25">
      <c r="A55" s="3" t="s">
        <v>47</v>
      </c>
      <c r="B55">
        <v>33</v>
      </c>
      <c r="J55" t="s">
        <v>270</v>
      </c>
    </row>
    <row r="56" spans="1:14" x14ac:dyDescent="0.25">
      <c r="A56" s="3" t="s">
        <v>56</v>
      </c>
      <c r="B56">
        <v>27</v>
      </c>
      <c r="J56">
        <v>200</v>
      </c>
    </row>
    <row r="57" spans="1:14" x14ac:dyDescent="0.25">
      <c r="A57" s="3" t="s">
        <v>16</v>
      </c>
      <c r="B57">
        <v>27</v>
      </c>
      <c r="E57" s="2" t="s">
        <v>276</v>
      </c>
      <c r="F57" s="2" t="s">
        <v>272</v>
      </c>
    </row>
    <row r="58" spans="1:14" x14ac:dyDescent="0.25">
      <c r="A58" s="3" t="s">
        <v>42</v>
      </c>
      <c r="B58">
        <v>27</v>
      </c>
      <c r="E58" s="2" t="s">
        <v>268</v>
      </c>
      <c r="F58" t="s">
        <v>265</v>
      </c>
      <c r="G58" t="s">
        <v>267</v>
      </c>
      <c r="H58" t="s">
        <v>266</v>
      </c>
      <c r="I58" t="s">
        <v>269</v>
      </c>
    </row>
    <row r="59" spans="1:14" x14ac:dyDescent="0.25">
      <c r="A59" s="3" t="s">
        <v>38</v>
      </c>
      <c r="B59">
        <v>19</v>
      </c>
      <c r="E59" s="3" t="s">
        <v>28</v>
      </c>
      <c r="F59">
        <v>377</v>
      </c>
      <c r="G59">
        <v>179</v>
      </c>
      <c r="H59">
        <v>255</v>
      </c>
      <c r="I59">
        <v>811</v>
      </c>
      <c r="J59" s="3" t="s">
        <v>61</v>
      </c>
      <c r="K59">
        <v>257</v>
      </c>
      <c r="L59">
        <v>110</v>
      </c>
      <c r="M59">
        <v>182</v>
      </c>
      <c r="N59">
        <v>549</v>
      </c>
    </row>
    <row r="60" spans="1:14" x14ac:dyDescent="0.25">
      <c r="A60" s="3" t="s">
        <v>269</v>
      </c>
      <c r="B60">
        <v>200</v>
      </c>
      <c r="E60" s="3" t="s">
        <v>55</v>
      </c>
      <c r="F60">
        <v>98</v>
      </c>
      <c r="G60">
        <v>155</v>
      </c>
      <c r="H60">
        <v>94</v>
      </c>
      <c r="I60">
        <v>347</v>
      </c>
      <c r="J60" s="3" t="s">
        <v>14</v>
      </c>
      <c r="K60">
        <v>83</v>
      </c>
      <c r="L60">
        <v>85</v>
      </c>
      <c r="M60">
        <v>158</v>
      </c>
      <c r="N60">
        <v>326</v>
      </c>
    </row>
    <row r="61" spans="1:14" x14ac:dyDescent="0.25">
      <c r="E61" s="3" t="s">
        <v>37</v>
      </c>
      <c r="F61">
        <v>699</v>
      </c>
      <c r="G61">
        <v>428</v>
      </c>
      <c r="H61">
        <v>317</v>
      </c>
      <c r="I61">
        <v>1444</v>
      </c>
      <c r="J61" s="3" t="s">
        <v>27</v>
      </c>
      <c r="K61">
        <v>120</v>
      </c>
      <c r="L61">
        <v>69</v>
      </c>
      <c r="M61">
        <v>73</v>
      </c>
      <c r="N61">
        <v>262</v>
      </c>
    </row>
    <row r="62" spans="1:14" x14ac:dyDescent="0.25">
      <c r="E62" s="3" t="s">
        <v>15</v>
      </c>
      <c r="F62">
        <v>83</v>
      </c>
      <c r="G62">
        <v>85</v>
      </c>
      <c r="H62">
        <v>158</v>
      </c>
      <c r="I62">
        <v>326</v>
      </c>
      <c r="J62" s="3" t="s">
        <v>54</v>
      </c>
      <c r="K62">
        <v>98</v>
      </c>
      <c r="L62">
        <v>155</v>
      </c>
      <c r="M62">
        <v>94</v>
      </c>
      <c r="N62">
        <v>347</v>
      </c>
    </row>
    <row r="63" spans="1:14" x14ac:dyDescent="0.25">
      <c r="E63" s="3" t="s">
        <v>22</v>
      </c>
      <c r="F63">
        <v>197</v>
      </c>
      <c r="G63">
        <v>160</v>
      </c>
      <c r="H63">
        <v>156</v>
      </c>
      <c r="I63">
        <v>513</v>
      </c>
      <c r="J63" s="3" t="s">
        <v>21</v>
      </c>
      <c r="K63">
        <v>38</v>
      </c>
      <c r="L63">
        <v>105</v>
      </c>
      <c r="M63">
        <v>52</v>
      </c>
      <c r="N63">
        <v>195</v>
      </c>
    </row>
    <row r="64" spans="1:14" x14ac:dyDescent="0.25">
      <c r="E64" s="3" t="s">
        <v>50</v>
      </c>
      <c r="F64">
        <v>348</v>
      </c>
      <c r="G64">
        <v>177</v>
      </c>
      <c r="H64">
        <v>168</v>
      </c>
      <c r="I64">
        <v>693</v>
      </c>
      <c r="J64" s="3" t="s">
        <v>36</v>
      </c>
      <c r="K64">
        <v>238</v>
      </c>
      <c r="L64">
        <v>122</v>
      </c>
      <c r="M64">
        <v>156</v>
      </c>
      <c r="N64">
        <v>516</v>
      </c>
    </row>
    <row r="65" spans="5:14" x14ac:dyDescent="0.25">
      <c r="E65" s="3" t="s">
        <v>269</v>
      </c>
      <c r="F65">
        <v>1802</v>
      </c>
      <c r="G65">
        <v>1184</v>
      </c>
      <c r="H65">
        <v>1148</v>
      </c>
      <c r="I65">
        <v>4134</v>
      </c>
      <c r="J65" s="3" t="s">
        <v>52</v>
      </c>
      <c r="K65">
        <v>75</v>
      </c>
      <c r="L65">
        <v>123</v>
      </c>
      <c r="M65">
        <v>45</v>
      </c>
      <c r="N65">
        <v>243</v>
      </c>
    </row>
    <row r="66" spans="5:14" x14ac:dyDescent="0.25">
      <c r="J66" s="3" t="s">
        <v>44</v>
      </c>
      <c r="K66">
        <v>119</v>
      </c>
      <c r="L66">
        <v>108</v>
      </c>
      <c r="M66">
        <v>12</v>
      </c>
      <c r="N66">
        <v>239</v>
      </c>
    </row>
    <row r="67" spans="5:14" x14ac:dyDescent="0.25">
      <c r="J67" s="3" t="s">
        <v>67</v>
      </c>
      <c r="K67">
        <v>57</v>
      </c>
      <c r="L67">
        <v>61</v>
      </c>
      <c r="M67">
        <v>47</v>
      </c>
      <c r="N67">
        <v>165</v>
      </c>
    </row>
    <row r="68" spans="5:14" x14ac:dyDescent="0.25">
      <c r="J68" s="3" t="s">
        <v>58</v>
      </c>
      <c r="K68">
        <v>123</v>
      </c>
      <c r="L68">
        <v>62</v>
      </c>
      <c r="M68">
        <v>72</v>
      </c>
      <c r="N68">
        <v>257</v>
      </c>
    </row>
    <row r="69" spans="5:14" x14ac:dyDescent="0.25">
      <c r="J69" s="3" t="s">
        <v>49</v>
      </c>
      <c r="K69">
        <v>168</v>
      </c>
      <c r="L69">
        <v>54</v>
      </c>
      <c r="M69">
        <v>49</v>
      </c>
      <c r="N69">
        <v>271</v>
      </c>
    </row>
    <row r="70" spans="5:14" x14ac:dyDescent="0.25">
      <c r="J70" s="3" t="s">
        <v>33</v>
      </c>
      <c r="K70">
        <v>159</v>
      </c>
      <c r="L70">
        <v>55</v>
      </c>
      <c r="M70">
        <v>104</v>
      </c>
      <c r="N70">
        <v>318</v>
      </c>
    </row>
    <row r="71" spans="5:14" x14ac:dyDescent="0.25">
      <c r="J71" s="3" t="s">
        <v>65</v>
      </c>
      <c r="K71">
        <v>267</v>
      </c>
      <c r="L71">
        <v>75</v>
      </c>
      <c r="M71">
        <v>104</v>
      </c>
      <c r="N71">
        <v>446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7AD28-918F-4B9F-BE0E-64B30A524BE1}">
  <dimension ref="A1:Q201"/>
  <sheetViews>
    <sheetView topLeftCell="D1" workbookViewId="0">
      <selection activeCell="K1" sqref="K1:K1048576"/>
    </sheetView>
  </sheetViews>
  <sheetFormatPr defaultRowHeight="15" x14ac:dyDescent="0.25"/>
  <cols>
    <col min="1" max="1" width="13.42578125" bestFit="1" customWidth="1"/>
    <col min="2" max="2" width="14.85546875" bestFit="1" customWidth="1"/>
    <col min="3" max="3" width="9.28515625" bestFit="1" customWidth="1"/>
    <col min="4" max="4" width="7.28515625" bestFit="1" customWidth="1"/>
    <col min="5" max="5" width="9" bestFit="1" customWidth="1"/>
    <col min="6" max="6" width="13.140625" bestFit="1" customWidth="1"/>
    <col min="7" max="7" width="16.140625" bestFit="1" customWidth="1"/>
    <col min="8" max="8" width="16.28515625" bestFit="1" customWidth="1"/>
    <col min="9" max="9" width="26.7109375" bestFit="1" customWidth="1"/>
    <col min="10" max="10" width="20.7109375" bestFit="1" customWidth="1"/>
    <col min="11" max="11" width="14.42578125" bestFit="1" customWidth="1"/>
    <col min="12" max="12" width="11.42578125" bestFit="1" customWidth="1"/>
    <col min="13" max="13" width="20.28515625" bestFit="1" customWidth="1"/>
    <col min="14" max="14" width="15" bestFit="1" customWidth="1"/>
    <col min="15" max="15" width="14.28515625" bestFit="1" customWidth="1"/>
    <col min="16" max="16" width="10.5703125" bestFit="1" customWidth="1"/>
    <col min="17" max="17" width="12.140625" bestFit="1" customWidth="1"/>
  </cols>
  <sheetData>
    <row r="1" spans="1:17" x14ac:dyDescent="0.25">
      <c r="A1" t="s">
        <v>0</v>
      </c>
      <c r="B1" t="s">
        <v>1</v>
      </c>
      <c r="C1" t="s">
        <v>249</v>
      </c>
      <c r="D1" t="s">
        <v>250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263</v>
      </c>
      <c r="L1" t="s">
        <v>8</v>
      </c>
      <c r="M1" t="s">
        <v>9</v>
      </c>
      <c r="N1" t="s">
        <v>264</v>
      </c>
      <c r="O1" t="s">
        <v>10</v>
      </c>
      <c r="P1" t="s">
        <v>11</v>
      </c>
      <c r="Q1" t="s">
        <v>12</v>
      </c>
    </row>
    <row r="2" spans="1:17" x14ac:dyDescent="0.25">
      <c r="A2" t="s">
        <v>46</v>
      </c>
      <c r="B2" s="1">
        <v>45072</v>
      </c>
      <c r="C2" t="s">
        <v>259</v>
      </c>
      <c r="D2">
        <v>2023</v>
      </c>
      <c r="E2" t="s">
        <v>33</v>
      </c>
      <c r="F2" t="s">
        <v>22</v>
      </c>
      <c r="G2" t="s">
        <v>47</v>
      </c>
      <c r="H2">
        <v>36</v>
      </c>
      <c r="I2">
        <v>0</v>
      </c>
      <c r="J2">
        <v>0</v>
      </c>
      <c r="K2">
        <v>0</v>
      </c>
      <c r="L2" t="s">
        <v>30</v>
      </c>
      <c r="M2" t="s">
        <v>31</v>
      </c>
      <c r="N2" t="s">
        <v>265</v>
      </c>
      <c r="O2" t="s">
        <v>39</v>
      </c>
      <c r="P2">
        <v>4.75</v>
      </c>
      <c r="Q2">
        <v>7.01</v>
      </c>
    </row>
    <row r="3" spans="1:17" x14ac:dyDescent="0.25">
      <c r="A3" t="s">
        <v>51</v>
      </c>
      <c r="B3" s="1">
        <v>44948</v>
      </c>
      <c r="C3" t="s">
        <v>253</v>
      </c>
      <c r="D3">
        <v>2023</v>
      </c>
      <c r="E3" t="s">
        <v>52</v>
      </c>
      <c r="F3" t="s">
        <v>37</v>
      </c>
      <c r="G3" t="s">
        <v>42</v>
      </c>
      <c r="H3">
        <v>9</v>
      </c>
      <c r="I3">
        <v>0</v>
      </c>
      <c r="J3">
        <v>0</v>
      </c>
      <c r="K3">
        <v>0</v>
      </c>
      <c r="L3" t="s">
        <v>17</v>
      </c>
      <c r="M3" t="s">
        <v>18</v>
      </c>
      <c r="N3" t="s">
        <v>266</v>
      </c>
      <c r="O3" t="s">
        <v>39</v>
      </c>
      <c r="P3">
        <v>12</v>
      </c>
      <c r="Q3">
        <v>8.52</v>
      </c>
    </row>
    <row r="4" spans="1:17" x14ac:dyDescent="0.25">
      <c r="A4" t="s">
        <v>59</v>
      </c>
      <c r="B4" s="1">
        <v>45121</v>
      </c>
      <c r="C4" t="s">
        <v>261</v>
      </c>
      <c r="D4">
        <v>2023</v>
      </c>
      <c r="E4" t="s">
        <v>36</v>
      </c>
      <c r="F4" t="s">
        <v>37</v>
      </c>
      <c r="G4" t="s">
        <v>16</v>
      </c>
      <c r="H4">
        <v>37</v>
      </c>
      <c r="I4">
        <v>0</v>
      </c>
      <c r="J4">
        <v>0</v>
      </c>
      <c r="K4">
        <v>0</v>
      </c>
      <c r="L4" t="s">
        <v>24</v>
      </c>
      <c r="M4" t="s">
        <v>34</v>
      </c>
      <c r="N4" t="s">
        <v>267</v>
      </c>
      <c r="O4" t="s">
        <v>19</v>
      </c>
      <c r="P4">
        <v>10.52</v>
      </c>
      <c r="Q4">
        <v>7.44</v>
      </c>
    </row>
    <row r="5" spans="1:17" x14ac:dyDescent="0.25">
      <c r="A5" t="s">
        <v>70</v>
      </c>
      <c r="B5" s="1">
        <v>44964</v>
      </c>
      <c r="C5" t="s">
        <v>255</v>
      </c>
      <c r="D5">
        <v>2023</v>
      </c>
      <c r="E5" t="s">
        <v>44</v>
      </c>
      <c r="F5" t="s">
        <v>37</v>
      </c>
      <c r="G5" t="s">
        <v>38</v>
      </c>
      <c r="H5">
        <v>12</v>
      </c>
      <c r="I5">
        <v>0</v>
      </c>
      <c r="J5">
        <v>0</v>
      </c>
      <c r="K5">
        <v>0</v>
      </c>
      <c r="L5" t="s">
        <v>17</v>
      </c>
      <c r="M5" t="s">
        <v>18</v>
      </c>
      <c r="N5" t="s">
        <v>266</v>
      </c>
      <c r="O5" t="s">
        <v>19</v>
      </c>
      <c r="P5">
        <v>12.99</v>
      </c>
      <c r="Q5">
        <v>7.6</v>
      </c>
    </row>
    <row r="6" spans="1:17" x14ac:dyDescent="0.25">
      <c r="A6" t="s">
        <v>78</v>
      </c>
      <c r="B6" s="1">
        <v>45392</v>
      </c>
      <c r="C6" t="s">
        <v>258</v>
      </c>
      <c r="D6">
        <v>2024</v>
      </c>
      <c r="E6" t="s">
        <v>14</v>
      </c>
      <c r="F6" t="s">
        <v>15</v>
      </c>
      <c r="G6" t="s">
        <v>42</v>
      </c>
      <c r="H6">
        <v>20</v>
      </c>
      <c r="I6">
        <v>0</v>
      </c>
      <c r="J6">
        <v>0</v>
      </c>
      <c r="K6">
        <v>0</v>
      </c>
      <c r="L6" t="s">
        <v>30</v>
      </c>
      <c r="M6" t="s">
        <v>31</v>
      </c>
      <c r="N6" t="s">
        <v>265</v>
      </c>
      <c r="O6" t="s">
        <v>39</v>
      </c>
      <c r="P6">
        <v>6.21</v>
      </c>
      <c r="Q6">
        <v>7.07</v>
      </c>
    </row>
    <row r="7" spans="1:17" x14ac:dyDescent="0.25">
      <c r="A7" t="s">
        <v>81</v>
      </c>
      <c r="B7" s="1">
        <v>45262</v>
      </c>
      <c r="C7" t="s">
        <v>262</v>
      </c>
      <c r="D7">
        <v>2023</v>
      </c>
      <c r="E7" t="s">
        <v>36</v>
      </c>
      <c r="F7" t="s">
        <v>37</v>
      </c>
      <c r="G7" t="s">
        <v>23</v>
      </c>
      <c r="H7">
        <v>20</v>
      </c>
      <c r="I7">
        <v>0</v>
      </c>
      <c r="J7">
        <v>0</v>
      </c>
      <c r="K7">
        <v>0</v>
      </c>
      <c r="L7" t="s">
        <v>30</v>
      </c>
      <c r="M7" t="s">
        <v>18</v>
      </c>
      <c r="N7" t="s">
        <v>265</v>
      </c>
      <c r="O7" t="s">
        <v>19</v>
      </c>
      <c r="P7">
        <v>10.52</v>
      </c>
      <c r="Q7">
        <v>7.44</v>
      </c>
    </row>
    <row r="8" spans="1:17" x14ac:dyDescent="0.25">
      <c r="A8" t="s">
        <v>84</v>
      </c>
      <c r="B8" s="1">
        <v>45016</v>
      </c>
      <c r="C8" t="s">
        <v>256</v>
      </c>
      <c r="D8">
        <v>2023</v>
      </c>
      <c r="E8" t="s">
        <v>36</v>
      </c>
      <c r="F8" t="s">
        <v>37</v>
      </c>
      <c r="G8" t="s">
        <v>47</v>
      </c>
      <c r="H8">
        <v>36</v>
      </c>
      <c r="I8">
        <v>0</v>
      </c>
      <c r="J8">
        <v>0</v>
      </c>
      <c r="K8">
        <v>0</v>
      </c>
      <c r="L8" t="s">
        <v>30</v>
      </c>
      <c r="M8" t="s">
        <v>18</v>
      </c>
      <c r="N8" t="s">
        <v>265</v>
      </c>
      <c r="O8" t="s">
        <v>39</v>
      </c>
      <c r="P8">
        <v>10.52</v>
      </c>
      <c r="Q8">
        <v>7.44</v>
      </c>
    </row>
    <row r="9" spans="1:17" x14ac:dyDescent="0.25">
      <c r="A9" t="s">
        <v>90</v>
      </c>
      <c r="B9" s="1">
        <v>45072</v>
      </c>
      <c r="C9" t="s">
        <v>259</v>
      </c>
      <c r="D9">
        <v>2023</v>
      </c>
      <c r="E9" t="s">
        <v>67</v>
      </c>
      <c r="F9" t="s">
        <v>50</v>
      </c>
      <c r="G9" t="s">
        <v>23</v>
      </c>
      <c r="H9">
        <v>34</v>
      </c>
      <c r="I9">
        <v>0</v>
      </c>
      <c r="J9">
        <v>0</v>
      </c>
      <c r="K9">
        <v>0</v>
      </c>
      <c r="L9" t="s">
        <v>17</v>
      </c>
      <c r="M9" t="s">
        <v>25</v>
      </c>
      <c r="N9" t="s">
        <v>266</v>
      </c>
      <c r="O9" t="s">
        <v>39</v>
      </c>
      <c r="P9">
        <v>6.52</v>
      </c>
      <c r="Q9">
        <v>3.37</v>
      </c>
    </row>
    <row r="10" spans="1:17" x14ac:dyDescent="0.25">
      <c r="A10" t="s">
        <v>91</v>
      </c>
      <c r="B10" s="1">
        <v>45009</v>
      </c>
      <c r="C10" t="s">
        <v>256</v>
      </c>
      <c r="D10">
        <v>2023</v>
      </c>
      <c r="E10" t="s">
        <v>65</v>
      </c>
      <c r="F10" t="s">
        <v>37</v>
      </c>
      <c r="G10" t="s">
        <v>23</v>
      </c>
      <c r="H10">
        <v>5</v>
      </c>
      <c r="I10">
        <v>0</v>
      </c>
      <c r="J10">
        <v>0</v>
      </c>
      <c r="K10">
        <v>0</v>
      </c>
      <c r="L10" t="s">
        <v>24</v>
      </c>
      <c r="M10" t="s">
        <v>18</v>
      </c>
      <c r="N10" t="s">
        <v>267</v>
      </c>
      <c r="O10" t="s">
        <v>19</v>
      </c>
      <c r="P10">
        <v>12.17</v>
      </c>
      <c r="Q10">
        <v>6.66</v>
      </c>
    </row>
    <row r="11" spans="1:17" x14ac:dyDescent="0.25">
      <c r="A11" t="s">
        <v>93</v>
      </c>
      <c r="B11" s="1">
        <v>45134</v>
      </c>
      <c r="C11" t="s">
        <v>261</v>
      </c>
      <c r="D11">
        <v>2023</v>
      </c>
      <c r="E11" t="s">
        <v>33</v>
      </c>
      <c r="F11" t="s">
        <v>22</v>
      </c>
      <c r="G11" t="s">
        <v>47</v>
      </c>
      <c r="H11">
        <v>21</v>
      </c>
      <c r="I11">
        <v>0</v>
      </c>
      <c r="J11">
        <v>0</v>
      </c>
      <c r="K11">
        <v>0</v>
      </c>
      <c r="L11" t="s">
        <v>30</v>
      </c>
      <c r="M11" t="s">
        <v>31</v>
      </c>
      <c r="N11" t="s">
        <v>265</v>
      </c>
      <c r="O11" t="s">
        <v>39</v>
      </c>
      <c r="P11">
        <v>4.75</v>
      </c>
      <c r="Q11">
        <v>7.01</v>
      </c>
    </row>
    <row r="12" spans="1:17" x14ac:dyDescent="0.25">
      <c r="A12" t="s">
        <v>97</v>
      </c>
      <c r="B12" s="1">
        <v>45310</v>
      </c>
      <c r="C12" t="s">
        <v>253</v>
      </c>
      <c r="D12">
        <v>2024</v>
      </c>
      <c r="E12" t="s">
        <v>67</v>
      </c>
      <c r="F12" t="s">
        <v>50</v>
      </c>
      <c r="G12" t="s">
        <v>29</v>
      </c>
      <c r="H12">
        <v>23</v>
      </c>
      <c r="I12">
        <v>0</v>
      </c>
      <c r="J12">
        <v>0</v>
      </c>
      <c r="K12">
        <v>0</v>
      </c>
      <c r="L12" t="s">
        <v>30</v>
      </c>
      <c r="M12" t="s">
        <v>18</v>
      </c>
      <c r="N12" t="s">
        <v>265</v>
      </c>
      <c r="O12" t="s">
        <v>39</v>
      </c>
      <c r="P12">
        <v>6.52</v>
      </c>
      <c r="Q12">
        <v>3.37</v>
      </c>
    </row>
    <row r="13" spans="1:17" x14ac:dyDescent="0.25">
      <c r="A13" t="s">
        <v>98</v>
      </c>
      <c r="B13" s="1">
        <v>44950</v>
      </c>
      <c r="C13" t="s">
        <v>253</v>
      </c>
      <c r="D13">
        <v>2023</v>
      </c>
      <c r="E13" t="s">
        <v>14</v>
      </c>
      <c r="F13" t="s">
        <v>15</v>
      </c>
      <c r="G13" t="s">
        <v>47</v>
      </c>
      <c r="H13">
        <v>2</v>
      </c>
      <c r="I13">
        <v>0</v>
      </c>
      <c r="J13">
        <v>0</v>
      </c>
      <c r="K13">
        <v>0</v>
      </c>
      <c r="L13" t="s">
        <v>30</v>
      </c>
      <c r="M13" t="s">
        <v>18</v>
      </c>
      <c r="N13" t="s">
        <v>265</v>
      </c>
      <c r="O13" t="s">
        <v>19</v>
      </c>
      <c r="P13">
        <v>6.21</v>
      </c>
      <c r="Q13">
        <v>7.07</v>
      </c>
    </row>
    <row r="14" spans="1:17" x14ac:dyDescent="0.25">
      <c r="A14" t="s">
        <v>101</v>
      </c>
      <c r="B14" s="1">
        <v>45198</v>
      </c>
      <c r="C14" t="s">
        <v>257</v>
      </c>
      <c r="D14">
        <v>2023</v>
      </c>
      <c r="E14" t="s">
        <v>61</v>
      </c>
      <c r="F14" t="s">
        <v>28</v>
      </c>
      <c r="G14" t="s">
        <v>47</v>
      </c>
      <c r="H14">
        <v>32</v>
      </c>
      <c r="I14">
        <v>0</v>
      </c>
      <c r="J14">
        <v>0</v>
      </c>
      <c r="K14">
        <v>0</v>
      </c>
      <c r="L14" t="s">
        <v>17</v>
      </c>
      <c r="M14" t="s">
        <v>18</v>
      </c>
      <c r="N14" t="s">
        <v>266</v>
      </c>
      <c r="O14" t="s">
        <v>19</v>
      </c>
      <c r="P14">
        <v>9.07</v>
      </c>
      <c r="Q14">
        <v>7.49</v>
      </c>
    </row>
    <row r="15" spans="1:17" x14ac:dyDescent="0.25">
      <c r="A15" t="s">
        <v>102</v>
      </c>
      <c r="B15" s="1">
        <v>45342</v>
      </c>
      <c r="C15" t="s">
        <v>255</v>
      </c>
      <c r="D15">
        <v>2024</v>
      </c>
      <c r="E15" t="s">
        <v>21</v>
      </c>
      <c r="F15" t="s">
        <v>22</v>
      </c>
      <c r="G15" t="s">
        <v>38</v>
      </c>
      <c r="H15">
        <v>2</v>
      </c>
      <c r="I15">
        <v>0</v>
      </c>
      <c r="J15">
        <v>0</v>
      </c>
      <c r="K15">
        <v>0</v>
      </c>
      <c r="L15" t="s">
        <v>17</v>
      </c>
      <c r="M15" t="s">
        <v>25</v>
      </c>
      <c r="N15" t="s">
        <v>266</v>
      </c>
      <c r="O15" t="s">
        <v>39</v>
      </c>
      <c r="P15">
        <v>5.7</v>
      </c>
      <c r="Q15">
        <v>5.9</v>
      </c>
    </row>
    <row r="16" spans="1:17" x14ac:dyDescent="0.25">
      <c r="A16" t="s">
        <v>111</v>
      </c>
      <c r="B16" s="1">
        <v>45015</v>
      </c>
      <c r="C16" t="s">
        <v>256</v>
      </c>
      <c r="D16">
        <v>2023</v>
      </c>
      <c r="E16" t="s">
        <v>44</v>
      </c>
      <c r="F16" t="s">
        <v>37</v>
      </c>
      <c r="G16" t="s">
        <v>23</v>
      </c>
      <c r="H16">
        <v>13</v>
      </c>
      <c r="I16">
        <v>0</v>
      </c>
      <c r="J16">
        <v>0</v>
      </c>
      <c r="K16">
        <v>0</v>
      </c>
      <c r="L16" t="s">
        <v>24</v>
      </c>
      <c r="M16" t="s">
        <v>31</v>
      </c>
      <c r="N16" t="s">
        <v>267</v>
      </c>
      <c r="O16" t="s">
        <v>39</v>
      </c>
      <c r="P16">
        <v>12.99</v>
      </c>
      <c r="Q16">
        <v>7.6</v>
      </c>
    </row>
    <row r="17" spans="1:17" x14ac:dyDescent="0.25">
      <c r="A17" t="s">
        <v>112</v>
      </c>
      <c r="B17" s="1">
        <v>45156</v>
      </c>
      <c r="C17" t="s">
        <v>254</v>
      </c>
      <c r="D17">
        <v>2023</v>
      </c>
      <c r="E17" t="s">
        <v>49</v>
      </c>
      <c r="F17" t="s">
        <v>50</v>
      </c>
      <c r="G17" t="s">
        <v>29</v>
      </c>
      <c r="H17">
        <v>40</v>
      </c>
      <c r="I17">
        <v>0</v>
      </c>
      <c r="J17">
        <v>0</v>
      </c>
      <c r="K17">
        <v>0</v>
      </c>
      <c r="L17" t="s">
        <v>24</v>
      </c>
      <c r="M17" t="s">
        <v>34</v>
      </c>
      <c r="N17" t="s">
        <v>267</v>
      </c>
      <c r="O17" t="s">
        <v>19</v>
      </c>
      <c r="P17">
        <v>7.38</v>
      </c>
      <c r="Q17">
        <v>3.93</v>
      </c>
    </row>
    <row r="18" spans="1:17" x14ac:dyDescent="0.25">
      <c r="A18" t="s">
        <v>113</v>
      </c>
      <c r="B18" s="1">
        <v>45154</v>
      </c>
      <c r="C18" t="s">
        <v>254</v>
      </c>
      <c r="D18">
        <v>2023</v>
      </c>
      <c r="E18" t="s">
        <v>52</v>
      </c>
      <c r="F18" t="s">
        <v>37</v>
      </c>
      <c r="G18" t="s">
        <v>47</v>
      </c>
      <c r="H18">
        <v>11</v>
      </c>
      <c r="I18">
        <v>0</v>
      </c>
      <c r="J18">
        <v>0</v>
      </c>
      <c r="K18">
        <v>0</v>
      </c>
      <c r="L18" t="s">
        <v>30</v>
      </c>
      <c r="M18" t="s">
        <v>18</v>
      </c>
      <c r="N18" t="s">
        <v>265</v>
      </c>
      <c r="O18" t="s">
        <v>39</v>
      </c>
      <c r="P18">
        <v>12</v>
      </c>
      <c r="Q18">
        <v>8.52</v>
      </c>
    </row>
    <row r="19" spans="1:17" x14ac:dyDescent="0.25">
      <c r="A19" t="s">
        <v>114</v>
      </c>
      <c r="B19" s="1">
        <v>45372</v>
      </c>
      <c r="C19" t="s">
        <v>256</v>
      </c>
      <c r="D19">
        <v>2024</v>
      </c>
      <c r="E19" t="s">
        <v>61</v>
      </c>
      <c r="F19" t="s">
        <v>28</v>
      </c>
      <c r="G19" t="s">
        <v>56</v>
      </c>
      <c r="H19">
        <v>6</v>
      </c>
      <c r="I19">
        <v>0</v>
      </c>
      <c r="J19">
        <v>0</v>
      </c>
      <c r="K19">
        <v>0</v>
      </c>
      <c r="L19" t="s">
        <v>30</v>
      </c>
      <c r="M19" t="s">
        <v>18</v>
      </c>
      <c r="N19" t="s">
        <v>265</v>
      </c>
      <c r="O19" t="s">
        <v>39</v>
      </c>
      <c r="P19">
        <v>9.07</v>
      </c>
      <c r="Q19">
        <v>7.49</v>
      </c>
    </row>
    <row r="20" spans="1:17" x14ac:dyDescent="0.25">
      <c r="A20" t="s">
        <v>116</v>
      </c>
      <c r="B20" s="1">
        <v>44930</v>
      </c>
      <c r="C20" t="s">
        <v>253</v>
      </c>
      <c r="D20">
        <v>2023</v>
      </c>
      <c r="E20" t="s">
        <v>36</v>
      </c>
      <c r="F20" t="s">
        <v>37</v>
      </c>
      <c r="G20" t="s">
        <v>47</v>
      </c>
      <c r="H20">
        <v>36</v>
      </c>
      <c r="I20">
        <v>0</v>
      </c>
      <c r="J20">
        <v>0</v>
      </c>
      <c r="K20">
        <v>0</v>
      </c>
      <c r="L20" t="s">
        <v>69</v>
      </c>
      <c r="M20" t="s">
        <v>31</v>
      </c>
      <c r="N20" t="s">
        <v>265</v>
      </c>
      <c r="O20" t="s">
        <v>39</v>
      </c>
      <c r="P20">
        <v>10.52</v>
      </c>
      <c r="Q20">
        <v>7.44</v>
      </c>
    </row>
    <row r="21" spans="1:17" x14ac:dyDescent="0.25">
      <c r="A21" t="s">
        <v>118</v>
      </c>
      <c r="B21" s="1">
        <v>45220</v>
      </c>
      <c r="C21" t="s">
        <v>251</v>
      </c>
      <c r="D21">
        <v>2023</v>
      </c>
      <c r="E21" t="s">
        <v>58</v>
      </c>
      <c r="F21" t="s">
        <v>50</v>
      </c>
      <c r="G21" t="s">
        <v>47</v>
      </c>
      <c r="H21">
        <v>25</v>
      </c>
      <c r="I21">
        <v>0</v>
      </c>
      <c r="J21">
        <v>0</v>
      </c>
      <c r="K21">
        <v>0</v>
      </c>
      <c r="L21" t="s">
        <v>69</v>
      </c>
      <c r="M21" t="s">
        <v>31</v>
      </c>
      <c r="N21" t="s">
        <v>265</v>
      </c>
      <c r="O21" t="s">
        <v>39</v>
      </c>
      <c r="P21">
        <v>6.9</v>
      </c>
      <c r="Q21">
        <v>3.3</v>
      </c>
    </row>
    <row r="22" spans="1:17" x14ac:dyDescent="0.25">
      <c r="A22" t="s">
        <v>124</v>
      </c>
      <c r="B22" s="1">
        <v>45408</v>
      </c>
      <c r="C22" t="s">
        <v>258</v>
      </c>
      <c r="D22">
        <v>2024</v>
      </c>
      <c r="E22" t="s">
        <v>49</v>
      </c>
      <c r="F22" t="s">
        <v>50</v>
      </c>
      <c r="G22" t="s">
        <v>29</v>
      </c>
      <c r="H22">
        <v>34</v>
      </c>
      <c r="I22">
        <v>0</v>
      </c>
      <c r="J22">
        <v>0</v>
      </c>
      <c r="K22">
        <v>0</v>
      </c>
      <c r="L22" t="s">
        <v>30</v>
      </c>
      <c r="M22" t="s">
        <v>25</v>
      </c>
      <c r="N22" t="s">
        <v>265</v>
      </c>
      <c r="O22" t="s">
        <v>39</v>
      </c>
      <c r="P22">
        <v>7.38</v>
      </c>
      <c r="Q22">
        <v>3.93</v>
      </c>
    </row>
    <row r="23" spans="1:17" x14ac:dyDescent="0.25">
      <c r="A23" t="s">
        <v>132</v>
      </c>
      <c r="B23" s="1">
        <v>45365</v>
      </c>
      <c r="C23" t="s">
        <v>256</v>
      </c>
      <c r="D23">
        <v>2024</v>
      </c>
      <c r="E23" t="s">
        <v>21</v>
      </c>
      <c r="F23" t="s">
        <v>22</v>
      </c>
      <c r="G23" t="s">
        <v>16</v>
      </c>
      <c r="H23">
        <v>36</v>
      </c>
      <c r="I23">
        <v>0</v>
      </c>
      <c r="J23">
        <v>0</v>
      </c>
      <c r="K23">
        <v>0</v>
      </c>
      <c r="L23" t="s">
        <v>24</v>
      </c>
      <c r="M23" t="s">
        <v>18</v>
      </c>
      <c r="N23" t="s">
        <v>267</v>
      </c>
      <c r="O23" t="s">
        <v>39</v>
      </c>
      <c r="P23">
        <v>5.7</v>
      </c>
      <c r="Q23">
        <v>5.9</v>
      </c>
    </row>
    <row r="24" spans="1:17" x14ac:dyDescent="0.25">
      <c r="A24" t="s">
        <v>135</v>
      </c>
      <c r="B24" s="1">
        <v>45001</v>
      </c>
      <c r="C24" t="s">
        <v>256</v>
      </c>
      <c r="D24">
        <v>2023</v>
      </c>
      <c r="E24" t="s">
        <v>14</v>
      </c>
      <c r="F24" t="s">
        <v>15</v>
      </c>
      <c r="G24" t="s">
        <v>23</v>
      </c>
      <c r="H24">
        <v>8</v>
      </c>
      <c r="I24">
        <v>0</v>
      </c>
      <c r="J24">
        <v>0</v>
      </c>
      <c r="K24">
        <v>0</v>
      </c>
      <c r="L24" t="s">
        <v>69</v>
      </c>
      <c r="M24" t="s">
        <v>25</v>
      </c>
      <c r="N24" t="s">
        <v>265</v>
      </c>
      <c r="O24" t="s">
        <v>39</v>
      </c>
      <c r="P24">
        <v>6.21</v>
      </c>
      <c r="Q24">
        <v>7.07</v>
      </c>
    </row>
    <row r="25" spans="1:17" x14ac:dyDescent="0.25">
      <c r="A25" t="s">
        <v>139</v>
      </c>
      <c r="B25" s="1">
        <v>44937</v>
      </c>
      <c r="C25" t="s">
        <v>253</v>
      </c>
      <c r="D25">
        <v>2023</v>
      </c>
      <c r="E25" t="s">
        <v>36</v>
      </c>
      <c r="F25" t="s">
        <v>37</v>
      </c>
      <c r="G25" t="s">
        <v>56</v>
      </c>
      <c r="H25">
        <v>18</v>
      </c>
      <c r="I25">
        <v>0</v>
      </c>
      <c r="J25">
        <v>0</v>
      </c>
      <c r="K25">
        <v>0</v>
      </c>
      <c r="L25" t="s">
        <v>17</v>
      </c>
      <c r="M25" t="s">
        <v>34</v>
      </c>
      <c r="N25" t="s">
        <v>266</v>
      </c>
      <c r="O25" t="s">
        <v>39</v>
      </c>
      <c r="P25">
        <v>10.52</v>
      </c>
      <c r="Q25">
        <v>7.44</v>
      </c>
    </row>
    <row r="26" spans="1:17" x14ac:dyDescent="0.25">
      <c r="A26" t="s">
        <v>140</v>
      </c>
      <c r="B26" s="1">
        <v>45026</v>
      </c>
      <c r="C26" t="s">
        <v>258</v>
      </c>
      <c r="D26">
        <v>2023</v>
      </c>
      <c r="E26" t="s">
        <v>21</v>
      </c>
      <c r="F26" t="s">
        <v>22</v>
      </c>
      <c r="G26" t="s">
        <v>42</v>
      </c>
      <c r="H26">
        <v>8</v>
      </c>
      <c r="I26">
        <v>0</v>
      </c>
      <c r="J26">
        <v>0</v>
      </c>
      <c r="K26">
        <v>0</v>
      </c>
      <c r="L26" t="s">
        <v>30</v>
      </c>
      <c r="M26" t="s">
        <v>18</v>
      </c>
      <c r="N26" t="s">
        <v>265</v>
      </c>
      <c r="O26" t="s">
        <v>39</v>
      </c>
      <c r="P26">
        <v>5.7</v>
      </c>
      <c r="Q26">
        <v>5.9</v>
      </c>
    </row>
    <row r="27" spans="1:17" x14ac:dyDescent="0.25">
      <c r="A27" t="s">
        <v>143</v>
      </c>
      <c r="B27" s="1">
        <v>45002</v>
      </c>
      <c r="C27" t="s">
        <v>256</v>
      </c>
      <c r="D27">
        <v>2023</v>
      </c>
      <c r="E27" t="s">
        <v>65</v>
      </c>
      <c r="F27" t="s">
        <v>37</v>
      </c>
      <c r="G27" t="s">
        <v>56</v>
      </c>
      <c r="H27">
        <v>13</v>
      </c>
      <c r="I27">
        <v>0</v>
      </c>
      <c r="J27">
        <v>0</v>
      </c>
      <c r="K27">
        <v>0</v>
      </c>
      <c r="L27" t="s">
        <v>30</v>
      </c>
      <c r="M27" t="s">
        <v>25</v>
      </c>
      <c r="N27" t="s">
        <v>265</v>
      </c>
      <c r="O27" t="s">
        <v>39</v>
      </c>
      <c r="P27">
        <v>12.17</v>
      </c>
      <c r="Q27">
        <v>6.66</v>
      </c>
    </row>
    <row r="28" spans="1:17" x14ac:dyDescent="0.25">
      <c r="A28" t="s">
        <v>147</v>
      </c>
      <c r="B28" s="1">
        <v>45185</v>
      </c>
      <c r="C28" t="s">
        <v>257</v>
      </c>
      <c r="D28">
        <v>2023</v>
      </c>
      <c r="E28" t="s">
        <v>61</v>
      </c>
      <c r="F28" t="s">
        <v>28</v>
      </c>
      <c r="G28" t="s">
        <v>16</v>
      </c>
      <c r="H28">
        <v>15</v>
      </c>
      <c r="I28">
        <v>0</v>
      </c>
      <c r="J28">
        <v>0</v>
      </c>
      <c r="K28">
        <v>0</v>
      </c>
      <c r="L28" t="s">
        <v>24</v>
      </c>
      <c r="M28" t="s">
        <v>31</v>
      </c>
      <c r="N28" t="s">
        <v>267</v>
      </c>
      <c r="O28" t="s">
        <v>39</v>
      </c>
      <c r="P28">
        <v>9.07</v>
      </c>
      <c r="Q28">
        <v>7.49</v>
      </c>
    </row>
    <row r="29" spans="1:17" x14ac:dyDescent="0.25">
      <c r="A29" t="s">
        <v>149</v>
      </c>
      <c r="B29" s="1">
        <v>45097</v>
      </c>
      <c r="C29" t="s">
        <v>252</v>
      </c>
      <c r="D29">
        <v>2023</v>
      </c>
      <c r="E29" t="s">
        <v>61</v>
      </c>
      <c r="F29" t="s">
        <v>28</v>
      </c>
      <c r="G29" t="s">
        <v>42</v>
      </c>
      <c r="H29">
        <v>29</v>
      </c>
      <c r="I29">
        <v>0</v>
      </c>
      <c r="J29">
        <v>0</v>
      </c>
      <c r="K29">
        <v>0</v>
      </c>
      <c r="L29" t="s">
        <v>24</v>
      </c>
      <c r="M29" t="s">
        <v>34</v>
      </c>
      <c r="N29" t="s">
        <v>267</v>
      </c>
      <c r="O29" t="s">
        <v>39</v>
      </c>
      <c r="P29">
        <v>9.07</v>
      </c>
      <c r="Q29">
        <v>7.49</v>
      </c>
    </row>
    <row r="30" spans="1:17" x14ac:dyDescent="0.25">
      <c r="A30" t="s">
        <v>150</v>
      </c>
      <c r="B30" s="1">
        <v>45208</v>
      </c>
      <c r="C30" t="s">
        <v>251</v>
      </c>
      <c r="D30">
        <v>2023</v>
      </c>
      <c r="E30" t="s">
        <v>54</v>
      </c>
      <c r="F30" t="s">
        <v>55</v>
      </c>
      <c r="G30" t="s">
        <v>38</v>
      </c>
      <c r="H30">
        <v>37</v>
      </c>
      <c r="I30">
        <v>0</v>
      </c>
      <c r="J30">
        <v>0</v>
      </c>
      <c r="K30">
        <v>0</v>
      </c>
      <c r="L30" t="s">
        <v>17</v>
      </c>
      <c r="M30" t="s">
        <v>25</v>
      </c>
      <c r="N30" t="s">
        <v>266</v>
      </c>
      <c r="O30" t="s">
        <v>19</v>
      </c>
      <c r="P30">
        <v>11.83</v>
      </c>
      <c r="Q30">
        <v>13.15</v>
      </c>
    </row>
    <row r="31" spans="1:17" x14ac:dyDescent="0.25">
      <c r="A31" t="s">
        <v>158</v>
      </c>
      <c r="B31" s="1">
        <v>45259</v>
      </c>
      <c r="C31" t="s">
        <v>260</v>
      </c>
      <c r="D31">
        <v>2023</v>
      </c>
      <c r="E31" t="s">
        <v>52</v>
      </c>
      <c r="F31" t="s">
        <v>37</v>
      </c>
      <c r="G31" t="s">
        <v>47</v>
      </c>
      <c r="H31">
        <v>21</v>
      </c>
      <c r="I31">
        <v>0</v>
      </c>
      <c r="J31">
        <v>0</v>
      </c>
      <c r="K31">
        <v>0</v>
      </c>
      <c r="L31" t="s">
        <v>24</v>
      </c>
      <c r="M31" t="s">
        <v>31</v>
      </c>
      <c r="N31" t="s">
        <v>267</v>
      </c>
      <c r="O31" t="s">
        <v>39</v>
      </c>
      <c r="P31">
        <v>12</v>
      </c>
      <c r="Q31">
        <v>8.52</v>
      </c>
    </row>
    <row r="32" spans="1:17" x14ac:dyDescent="0.25">
      <c r="A32" t="s">
        <v>159</v>
      </c>
      <c r="B32" s="1">
        <v>44956</v>
      </c>
      <c r="C32" t="s">
        <v>253</v>
      </c>
      <c r="D32">
        <v>2023</v>
      </c>
      <c r="E32" t="s">
        <v>61</v>
      </c>
      <c r="F32" t="s">
        <v>28</v>
      </c>
      <c r="G32" t="s">
        <v>29</v>
      </c>
      <c r="H32">
        <v>36</v>
      </c>
      <c r="I32">
        <v>0</v>
      </c>
      <c r="J32">
        <v>0</v>
      </c>
      <c r="K32">
        <v>0</v>
      </c>
      <c r="L32" t="s">
        <v>17</v>
      </c>
      <c r="M32" t="s">
        <v>25</v>
      </c>
      <c r="N32" t="s">
        <v>266</v>
      </c>
      <c r="O32" t="s">
        <v>19</v>
      </c>
      <c r="P32">
        <v>9.07</v>
      </c>
      <c r="Q32">
        <v>7.49</v>
      </c>
    </row>
    <row r="33" spans="1:17" x14ac:dyDescent="0.25">
      <c r="A33" t="s">
        <v>162</v>
      </c>
      <c r="B33" s="1">
        <v>45369</v>
      </c>
      <c r="C33" t="s">
        <v>256</v>
      </c>
      <c r="D33">
        <v>2024</v>
      </c>
      <c r="E33" t="s">
        <v>27</v>
      </c>
      <c r="F33" t="s">
        <v>28</v>
      </c>
      <c r="G33" t="s">
        <v>56</v>
      </c>
      <c r="H33">
        <v>38</v>
      </c>
      <c r="I33">
        <v>0</v>
      </c>
      <c r="J33">
        <v>0</v>
      </c>
      <c r="K33">
        <v>0</v>
      </c>
      <c r="L33" t="s">
        <v>24</v>
      </c>
      <c r="M33" t="s">
        <v>18</v>
      </c>
      <c r="N33" t="s">
        <v>267</v>
      </c>
      <c r="O33" t="s">
        <v>39</v>
      </c>
      <c r="P33">
        <v>7.73</v>
      </c>
      <c r="Q33">
        <v>8.5399999999999991</v>
      </c>
    </row>
    <row r="34" spans="1:17" x14ac:dyDescent="0.25">
      <c r="A34" t="s">
        <v>163</v>
      </c>
      <c r="B34" s="1">
        <v>45051</v>
      </c>
      <c r="C34" t="s">
        <v>259</v>
      </c>
      <c r="D34">
        <v>2023</v>
      </c>
      <c r="E34" t="s">
        <v>36</v>
      </c>
      <c r="F34" t="s">
        <v>37</v>
      </c>
      <c r="G34" t="s">
        <v>42</v>
      </c>
      <c r="H34">
        <v>33</v>
      </c>
      <c r="I34">
        <v>0</v>
      </c>
      <c r="J34">
        <v>0</v>
      </c>
      <c r="K34">
        <v>0</v>
      </c>
      <c r="L34" t="s">
        <v>30</v>
      </c>
      <c r="M34" t="s">
        <v>31</v>
      </c>
      <c r="N34" t="s">
        <v>265</v>
      </c>
      <c r="O34" t="s">
        <v>39</v>
      </c>
      <c r="P34">
        <v>10.52</v>
      </c>
      <c r="Q34">
        <v>7.44</v>
      </c>
    </row>
    <row r="35" spans="1:17" x14ac:dyDescent="0.25">
      <c r="A35" t="s">
        <v>164</v>
      </c>
      <c r="B35" s="1">
        <v>44957</v>
      </c>
      <c r="C35" t="s">
        <v>253</v>
      </c>
      <c r="D35">
        <v>2023</v>
      </c>
      <c r="E35" t="s">
        <v>36</v>
      </c>
      <c r="F35" t="s">
        <v>37</v>
      </c>
      <c r="G35" t="s">
        <v>56</v>
      </c>
      <c r="H35">
        <v>20</v>
      </c>
      <c r="I35">
        <v>0</v>
      </c>
      <c r="J35">
        <v>0</v>
      </c>
      <c r="K35">
        <v>0</v>
      </c>
      <c r="L35" t="s">
        <v>17</v>
      </c>
      <c r="M35" t="s">
        <v>31</v>
      </c>
      <c r="N35" t="s">
        <v>266</v>
      </c>
      <c r="O35" t="s">
        <v>39</v>
      </c>
      <c r="P35">
        <v>10.52</v>
      </c>
      <c r="Q35">
        <v>7.44</v>
      </c>
    </row>
    <row r="36" spans="1:17" x14ac:dyDescent="0.25">
      <c r="A36" t="s">
        <v>165</v>
      </c>
      <c r="B36" s="1">
        <v>45217</v>
      </c>
      <c r="C36" t="s">
        <v>251</v>
      </c>
      <c r="D36">
        <v>2023</v>
      </c>
      <c r="E36" t="s">
        <v>58</v>
      </c>
      <c r="F36" t="s">
        <v>50</v>
      </c>
      <c r="G36" t="s">
        <v>23</v>
      </c>
      <c r="H36">
        <v>32</v>
      </c>
      <c r="I36">
        <v>0</v>
      </c>
      <c r="J36">
        <v>0</v>
      </c>
      <c r="K36">
        <v>0</v>
      </c>
      <c r="L36" t="s">
        <v>69</v>
      </c>
      <c r="M36" t="s">
        <v>31</v>
      </c>
      <c r="N36" t="s">
        <v>265</v>
      </c>
      <c r="O36" t="s">
        <v>19</v>
      </c>
      <c r="P36">
        <v>6.9</v>
      </c>
      <c r="Q36">
        <v>3.3</v>
      </c>
    </row>
    <row r="37" spans="1:17" x14ac:dyDescent="0.25">
      <c r="A37" t="s">
        <v>168</v>
      </c>
      <c r="B37" s="1">
        <v>45045</v>
      </c>
      <c r="C37" t="s">
        <v>258</v>
      </c>
      <c r="D37">
        <v>2023</v>
      </c>
      <c r="E37" t="s">
        <v>14</v>
      </c>
      <c r="F37" t="s">
        <v>15</v>
      </c>
      <c r="G37" t="s">
        <v>47</v>
      </c>
      <c r="H37">
        <v>39</v>
      </c>
      <c r="I37">
        <v>0</v>
      </c>
      <c r="J37">
        <v>0</v>
      </c>
      <c r="K37">
        <v>0</v>
      </c>
      <c r="L37" t="s">
        <v>24</v>
      </c>
      <c r="M37" t="s">
        <v>31</v>
      </c>
      <c r="N37" t="s">
        <v>267</v>
      </c>
      <c r="O37" t="s">
        <v>39</v>
      </c>
      <c r="P37">
        <v>6.21</v>
      </c>
      <c r="Q37">
        <v>7.07</v>
      </c>
    </row>
    <row r="38" spans="1:17" x14ac:dyDescent="0.25">
      <c r="A38" t="s">
        <v>171</v>
      </c>
      <c r="B38" s="1">
        <v>45409</v>
      </c>
      <c r="C38" t="s">
        <v>258</v>
      </c>
      <c r="D38">
        <v>2024</v>
      </c>
      <c r="E38" t="s">
        <v>21</v>
      </c>
      <c r="F38" t="s">
        <v>22</v>
      </c>
      <c r="G38" t="s">
        <v>47</v>
      </c>
      <c r="H38">
        <v>36</v>
      </c>
      <c r="I38">
        <v>0</v>
      </c>
      <c r="J38">
        <v>0</v>
      </c>
      <c r="K38">
        <v>0</v>
      </c>
      <c r="L38" t="s">
        <v>24</v>
      </c>
      <c r="M38" t="s">
        <v>34</v>
      </c>
      <c r="N38" t="s">
        <v>267</v>
      </c>
      <c r="O38" t="s">
        <v>39</v>
      </c>
      <c r="P38">
        <v>5.7</v>
      </c>
      <c r="Q38">
        <v>5.9</v>
      </c>
    </row>
    <row r="39" spans="1:17" x14ac:dyDescent="0.25">
      <c r="A39" t="s">
        <v>174</v>
      </c>
      <c r="B39" s="1">
        <v>45349</v>
      </c>
      <c r="C39" t="s">
        <v>255</v>
      </c>
      <c r="D39">
        <v>2024</v>
      </c>
      <c r="E39" t="s">
        <v>33</v>
      </c>
      <c r="F39" t="s">
        <v>22</v>
      </c>
      <c r="G39" t="s">
        <v>56</v>
      </c>
      <c r="H39">
        <v>13</v>
      </c>
      <c r="I39">
        <v>0</v>
      </c>
      <c r="J39">
        <v>0</v>
      </c>
      <c r="K39">
        <v>0</v>
      </c>
      <c r="L39" t="s">
        <v>17</v>
      </c>
      <c r="M39" t="s">
        <v>18</v>
      </c>
      <c r="N39" t="s">
        <v>266</v>
      </c>
      <c r="O39" t="s">
        <v>39</v>
      </c>
      <c r="P39">
        <v>4.75</v>
      </c>
      <c r="Q39">
        <v>7.01</v>
      </c>
    </row>
    <row r="40" spans="1:17" x14ac:dyDescent="0.25">
      <c r="A40" t="s">
        <v>176</v>
      </c>
      <c r="B40" s="1">
        <v>45065</v>
      </c>
      <c r="C40" t="s">
        <v>259</v>
      </c>
      <c r="D40">
        <v>2023</v>
      </c>
      <c r="E40" t="s">
        <v>67</v>
      </c>
      <c r="F40" t="s">
        <v>50</v>
      </c>
      <c r="G40" t="s">
        <v>42</v>
      </c>
      <c r="H40">
        <v>13</v>
      </c>
      <c r="I40">
        <v>0</v>
      </c>
      <c r="J40">
        <v>0</v>
      </c>
      <c r="K40">
        <v>0</v>
      </c>
      <c r="L40" t="s">
        <v>17</v>
      </c>
      <c r="M40" t="s">
        <v>18</v>
      </c>
      <c r="N40" t="s">
        <v>266</v>
      </c>
      <c r="O40" t="s">
        <v>39</v>
      </c>
      <c r="P40">
        <v>6.52</v>
      </c>
      <c r="Q40">
        <v>3.37</v>
      </c>
    </row>
    <row r="41" spans="1:17" x14ac:dyDescent="0.25">
      <c r="A41" t="s">
        <v>177</v>
      </c>
      <c r="B41" s="1">
        <v>45427</v>
      </c>
      <c r="C41" t="s">
        <v>259</v>
      </c>
      <c r="D41">
        <v>2024</v>
      </c>
      <c r="E41" t="s">
        <v>61</v>
      </c>
      <c r="F41" t="s">
        <v>28</v>
      </c>
      <c r="G41" t="s">
        <v>29</v>
      </c>
      <c r="H41">
        <v>20</v>
      </c>
      <c r="I41">
        <v>0</v>
      </c>
      <c r="J41">
        <v>0</v>
      </c>
      <c r="K41">
        <v>0</v>
      </c>
      <c r="L41" t="s">
        <v>69</v>
      </c>
      <c r="M41" t="s">
        <v>31</v>
      </c>
      <c r="N41" t="s">
        <v>265</v>
      </c>
      <c r="O41" t="s">
        <v>39</v>
      </c>
      <c r="P41">
        <v>9.07</v>
      </c>
      <c r="Q41">
        <v>7.49</v>
      </c>
    </row>
    <row r="42" spans="1:17" x14ac:dyDescent="0.25">
      <c r="A42" t="s">
        <v>180</v>
      </c>
      <c r="B42" s="1">
        <v>45401</v>
      </c>
      <c r="C42" t="s">
        <v>258</v>
      </c>
      <c r="D42">
        <v>2024</v>
      </c>
      <c r="E42" t="s">
        <v>44</v>
      </c>
      <c r="F42" t="s">
        <v>37</v>
      </c>
      <c r="G42" t="s">
        <v>42</v>
      </c>
      <c r="H42">
        <v>22</v>
      </c>
      <c r="I42">
        <v>0</v>
      </c>
      <c r="J42">
        <v>0</v>
      </c>
      <c r="K42">
        <v>0</v>
      </c>
      <c r="L42" t="s">
        <v>69</v>
      </c>
      <c r="M42" t="s">
        <v>34</v>
      </c>
      <c r="N42" t="s">
        <v>265</v>
      </c>
      <c r="O42" t="s">
        <v>39</v>
      </c>
      <c r="P42">
        <v>12.99</v>
      </c>
      <c r="Q42">
        <v>7.6</v>
      </c>
    </row>
    <row r="43" spans="1:17" x14ac:dyDescent="0.25">
      <c r="A43" t="s">
        <v>183</v>
      </c>
      <c r="B43" s="1">
        <v>44974</v>
      </c>
      <c r="C43" t="s">
        <v>255</v>
      </c>
      <c r="D43">
        <v>2023</v>
      </c>
      <c r="E43" t="s">
        <v>65</v>
      </c>
      <c r="F43" t="s">
        <v>37</v>
      </c>
      <c r="G43" t="s">
        <v>56</v>
      </c>
      <c r="H43">
        <v>12</v>
      </c>
      <c r="I43">
        <v>0</v>
      </c>
      <c r="J43">
        <v>0</v>
      </c>
      <c r="K43">
        <v>0</v>
      </c>
      <c r="L43" t="s">
        <v>17</v>
      </c>
      <c r="M43" t="s">
        <v>25</v>
      </c>
      <c r="N43" t="s">
        <v>266</v>
      </c>
      <c r="O43" t="s">
        <v>19</v>
      </c>
      <c r="P43">
        <v>12.17</v>
      </c>
      <c r="Q43">
        <v>6.66</v>
      </c>
    </row>
    <row r="44" spans="1:17" x14ac:dyDescent="0.25">
      <c r="A44" t="s">
        <v>187</v>
      </c>
      <c r="B44" s="1">
        <v>44942</v>
      </c>
      <c r="C44" t="s">
        <v>253</v>
      </c>
      <c r="D44">
        <v>2023</v>
      </c>
      <c r="E44" t="s">
        <v>14</v>
      </c>
      <c r="F44" t="s">
        <v>15</v>
      </c>
      <c r="G44" t="s">
        <v>29</v>
      </c>
      <c r="H44">
        <v>39</v>
      </c>
      <c r="I44">
        <v>0</v>
      </c>
      <c r="J44">
        <v>0</v>
      </c>
      <c r="K44">
        <v>0</v>
      </c>
      <c r="L44" t="s">
        <v>17</v>
      </c>
      <c r="M44" t="s">
        <v>31</v>
      </c>
      <c r="N44" t="s">
        <v>266</v>
      </c>
      <c r="O44" t="s">
        <v>39</v>
      </c>
      <c r="P44">
        <v>6.21</v>
      </c>
      <c r="Q44">
        <v>7.07</v>
      </c>
    </row>
    <row r="45" spans="1:17" x14ac:dyDescent="0.25">
      <c r="A45" t="s">
        <v>188</v>
      </c>
      <c r="B45" s="1">
        <v>45126</v>
      </c>
      <c r="C45" t="s">
        <v>261</v>
      </c>
      <c r="D45">
        <v>2023</v>
      </c>
      <c r="E45" t="s">
        <v>44</v>
      </c>
      <c r="F45" t="s">
        <v>37</v>
      </c>
      <c r="G45" t="s">
        <v>23</v>
      </c>
      <c r="H45">
        <v>26</v>
      </c>
      <c r="I45">
        <v>0</v>
      </c>
      <c r="J45">
        <v>0</v>
      </c>
      <c r="K45">
        <v>0</v>
      </c>
      <c r="L45" t="s">
        <v>69</v>
      </c>
      <c r="M45" t="s">
        <v>25</v>
      </c>
      <c r="N45" t="s">
        <v>265</v>
      </c>
      <c r="O45" t="s">
        <v>39</v>
      </c>
      <c r="P45">
        <v>12.99</v>
      </c>
      <c r="Q45">
        <v>7.6</v>
      </c>
    </row>
    <row r="46" spans="1:17" x14ac:dyDescent="0.25">
      <c r="A46" t="s">
        <v>189</v>
      </c>
      <c r="B46" s="1">
        <v>45005</v>
      </c>
      <c r="C46" t="s">
        <v>256</v>
      </c>
      <c r="D46">
        <v>2023</v>
      </c>
      <c r="E46" t="s">
        <v>58</v>
      </c>
      <c r="F46" t="s">
        <v>50</v>
      </c>
      <c r="G46" t="s">
        <v>47</v>
      </c>
      <c r="H46">
        <v>24</v>
      </c>
      <c r="I46">
        <v>0</v>
      </c>
      <c r="J46">
        <v>0</v>
      </c>
      <c r="K46">
        <v>0</v>
      </c>
      <c r="L46" t="s">
        <v>24</v>
      </c>
      <c r="M46" t="s">
        <v>18</v>
      </c>
      <c r="N46" t="s">
        <v>267</v>
      </c>
      <c r="O46" t="s">
        <v>19</v>
      </c>
      <c r="P46">
        <v>6.9</v>
      </c>
      <c r="Q46">
        <v>3.3</v>
      </c>
    </row>
    <row r="47" spans="1:17" x14ac:dyDescent="0.25">
      <c r="A47" t="s">
        <v>190</v>
      </c>
      <c r="B47" s="1">
        <v>45196</v>
      </c>
      <c r="C47" t="s">
        <v>257</v>
      </c>
      <c r="D47">
        <v>2023</v>
      </c>
      <c r="E47" t="s">
        <v>54</v>
      </c>
      <c r="F47" t="s">
        <v>55</v>
      </c>
      <c r="G47" t="s">
        <v>56</v>
      </c>
      <c r="H47">
        <v>4</v>
      </c>
      <c r="I47">
        <v>0</v>
      </c>
      <c r="J47">
        <v>0</v>
      </c>
      <c r="K47">
        <v>0</v>
      </c>
      <c r="L47" t="s">
        <v>69</v>
      </c>
      <c r="M47" t="s">
        <v>34</v>
      </c>
      <c r="N47" t="s">
        <v>265</v>
      </c>
      <c r="O47" t="s">
        <v>19</v>
      </c>
      <c r="P47">
        <v>11.83</v>
      </c>
      <c r="Q47">
        <v>13.15</v>
      </c>
    </row>
    <row r="48" spans="1:17" x14ac:dyDescent="0.25">
      <c r="A48" t="s">
        <v>193</v>
      </c>
      <c r="B48" s="1">
        <v>45010</v>
      </c>
      <c r="C48" t="s">
        <v>256</v>
      </c>
      <c r="D48">
        <v>2023</v>
      </c>
      <c r="E48" t="s">
        <v>14</v>
      </c>
      <c r="F48" t="s">
        <v>15</v>
      </c>
      <c r="G48" t="s">
        <v>42</v>
      </c>
      <c r="H48">
        <v>25</v>
      </c>
      <c r="I48">
        <v>0</v>
      </c>
      <c r="J48">
        <v>0</v>
      </c>
      <c r="K48">
        <v>0</v>
      </c>
      <c r="L48" t="s">
        <v>17</v>
      </c>
      <c r="M48" t="s">
        <v>25</v>
      </c>
      <c r="N48" t="s">
        <v>266</v>
      </c>
      <c r="O48" t="s">
        <v>19</v>
      </c>
      <c r="P48">
        <v>6.21</v>
      </c>
      <c r="Q48">
        <v>7.07</v>
      </c>
    </row>
    <row r="49" spans="1:17" x14ac:dyDescent="0.25">
      <c r="A49" t="s">
        <v>194</v>
      </c>
      <c r="B49" s="1">
        <v>45314</v>
      </c>
      <c r="C49" t="s">
        <v>253</v>
      </c>
      <c r="D49">
        <v>2024</v>
      </c>
      <c r="E49" t="s">
        <v>61</v>
      </c>
      <c r="F49" t="s">
        <v>28</v>
      </c>
      <c r="G49" t="s">
        <v>29</v>
      </c>
      <c r="H49">
        <v>39</v>
      </c>
      <c r="I49">
        <v>0</v>
      </c>
      <c r="J49">
        <v>0</v>
      </c>
      <c r="K49">
        <v>0</v>
      </c>
      <c r="L49" t="s">
        <v>30</v>
      </c>
      <c r="M49" t="s">
        <v>31</v>
      </c>
      <c r="N49" t="s">
        <v>265</v>
      </c>
      <c r="O49" t="s">
        <v>39</v>
      </c>
      <c r="P49">
        <v>9.07</v>
      </c>
      <c r="Q49">
        <v>7.49</v>
      </c>
    </row>
    <row r="50" spans="1:17" x14ac:dyDescent="0.25">
      <c r="A50" t="s">
        <v>195</v>
      </c>
      <c r="B50" s="1">
        <v>44927</v>
      </c>
      <c r="C50" t="s">
        <v>253</v>
      </c>
      <c r="D50">
        <v>2023</v>
      </c>
      <c r="E50" t="s">
        <v>52</v>
      </c>
      <c r="F50" t="s">
        <v>37</v>
      </c>
      <c r="G50" t="s">
        <v>23</v>
      </c>
      <c r="H50">
        <v>30</v>
      </c>
      <c r="I50">
        <v>0</v>
      </c>
      <c r="J50">
        <v>0</v>
      </c>
      <c r="K50">
        <v>0</v>
      </c>
      <c r="L50" t="s">
        <v>24</v>
      </c>
      <c r="M50" t="s">
        <v>25</v>
      </c>
      <c r="N50" t="s">
        <v>267</v>
      </c>
      <c r="O50" t="s">
        <v>39</v>
      </c>
      <c r="P50">
        <v>12</v>
      </c>
      <c r="Q50">
        <v>8.52</v>
      </c>
    </row>
    <row r="51" spans="1:17" x14ac:dyDescent="0.25">
      <c r="A51" t="s">
        <v>196</v>
      </c>
      <c r="B51" s="1">
        <v>44975</v>
      </c>
      <c r="C51" t="s">
        <v>255</v>
      </c>
      <c r="D51">
        <v>2023</v>
      </c>
      <c r="E51" t="s">
        <v>58</v>
      </c>
      <c r="F51" t="s">
        <v>50</v>
      </c>
      <c r="G51" t="s">
        <v>47</v>
      </c>
      <c r="H51">
        <v>18</v>
      </c>
      <c r="I51">
        <v>0</v>
      </c>
      <c r="J51">
        <v>0</v>
      </c>
      <c r="K51">
        <v>0</v>
      </c>
      <c r="L51" t="s">
        <v>17</v>
      </c>
      <c r="M51" t="s">
        <v>25</v>
      </c>
      <c r="N51" t="s">
        <v>266</v>
      </c>
      <c r="O51" t="s">
        <v>39</v>
      </c>
      <c r="P51">
        <v>6.9</v>
      </c>
      <c r="Q51">
        <v>3.3</v>
      </c>
    </row>
    <row r="52" spans="1:17" x14ac:dyDescent="0.25">
      <c r="A52" t="s">
        <v>197</v>
      </c>
      <c r="B52" s="1">
        <v>45077</v>
      </c>
      <c r="C52" t="s">
        <v>259</v>
      </c>
      <c r="D52">
        <v>2023</v>
      </c>
      <c r="E52" t="s">
        <v>44</v>
      </c>
      <c r="F52" t="s">
        <v>37</v>
      </c>
      <c r="G52" t="s">
        <v>47</v>
      </c>
      <c r="H52">
        <v>9</v>
      </c>
      <c r="I52">
        <v>0</v>
      </c>
      <c r="J52">
        <v>0</v>
      </c>
      <c r="K52">
        <v>0</v>
      </c>
      <c r="L52" t="s">
        <v>69</v>
      </c>
      <c r="M52" t="s">
        <v>34</v>
      </c>
      <c r="N52" t="s">
        <v>265</v>
      </c>
      <c r="O52" t="s">
        <v>19</v>
      </c>
      <c r="P52">
        <v>12.99</v>
      </c>
      <c r="Q52">
        <v>7.6</v>
      </c>
    </row>
    <row r="53" spans="1:17" x14ac:dyDescent="0.25">
      <c r="A53" t="s">
        <v>199</v>
      </c>
      <c r="B53" s="1">
        <v>45216</v>
      </c>
      <c r="C53" t="s">
        <v>251</v>
      </c>
      <c r="D53">
        <v>2023</v>
      </c>
      <c r="E53" t="s">
        <v>65</v>
      </c>
      <c r="F53" t="s">
        <v>37</v>
      </c>
      <c r="G53" t="s">
        <v>29</v>
      </c>
      <c r="H53">
        <v>13</v>
      </c>
      <c r="I53">
        <v>0</v>
      </c>
      <c r="J53">
        <v>0</v>
      </c>
      <c r="K53">
        <v>0</v>
      </c>
      <c r="L53" t="s">
        <v>30</v>
      </c>
      <c r="M53" t="s">
        <v>31</v>
      </c>
      <c r="N53" t="s">
        <v>265</v>
      </c>
      <c r="O53" t="s">
        <v>19</v>
      </c>
      <c r="P53">
        <v>12.17</v>
      </c>
      <c r="Q53">
        <v>6.66</v>
      </c>
    </row>
    <row r="54" spans="1:17" x14ac:dyDescent="0.25">
      <c r="A54" t="s">
        <v>203</v>
      </c>
      <c r="B54" s="1">
        <v>44944</v>
      </c>
      <c r="C54" t="s">
        <v>253</v>
      </c>
      <c r="D54">
        <v>2023</v>
      </c>
      <c r="E54" t="s">
        <v>33</v>
      </c>
      <c r="F54" t="s">
        <v>22</v>
      </c>
      <c r="G54" t="s">
        <v>47</v>
      </c>
      <c r="H54">
        <v>25</v>
      </c>
      <c r="I54">
        <v>0</v>
      </c>
      <c r="J54">
        <v>0</v>
      </c>
      <c r="K54">
        <v>0</v>
      </c>
      <c r="L54" t="s">
        <v>69</v>
      </c>
      <c r="M54" t="s">
        <v>25</v>
      </c>
      <c r="N54" t="s">
        <v>265</v>
      </c>
      <c r="O54" t="s">
        <v>39</v>
      </c>
      <c r="P54">
        <v>4.75</v>
      </c>
      <c r="Q54">
        <v>7.01</v>
      </c>
    </row>
    <row r="55" spans="1:17" x14ac:dyDescent="0.25">
      <c r="A55" t="s">
        <v>208</v>
      </c>
      <c r="B55" s="1">
        <v>45057</v>
      </c>
      <c r="C55" t="s">
        <v>259</v>
      </c>
      <c r="D55">
        <v>2023</v>
      </c>
      <c r="E55" t="s">
        <v>36</v>
      </c>
      <c r="F55" t="s">
        <v>37</v>
      </c>
      <c r="G55" t="s">
        <v>56</v>
      </c>
      <c r="H55">
        <v>19</v>
      </c>
      <c r="I55">
        <v>0</v>
      </c>
      <c r="J55">
        <v>0</v>
      </c>
      <c r="K55">
        <v>0</v>
      </c>
      <c r="L55" t="s">
        <v>17</v>
      </c>
      <c r="M55" t="s">
        <v>25</v>
      </c>
      <c r="N55" t="s">
        <v>266</v>
      </c>
      <c r="O55" t="s">
        <v>39</v>
      </c>
      <c r="P55">
        <v>10.52</v>
      </c>
      <c r="Q55">
        <v>7.44</v>
      </c>
    </row>
    <row r="56" spans="1:17" x14ac:dyDescent="0.25">
      <c r="A56" t="s">
        <v>216</v>
      </c>
      <c r="B56" s="1">
        <v>44986</v>
      </c>
      <c r="C56" t="s">
        <v>256</v>
      </c>
      <c r="D56">
        <v>2023</v>
      </c>
      <c r="E56" t="s">
        <v>36</v>
      </c>
      <c r="F56" t="s">
        <v>37</v>
      </c>
      <c r="G56" t="s">
        <v>38</v>
      </c>
      <c r="H56">
        <v>21</v>
      </c>
      <c r="I56">
        <v>0</v>
      </c>
      <c r="J56">
        <v>0</v>
      </c>
      <c r="K56">
        <v>0</v>
      </c>
      <c r="L56" t="s">
        <v>69</v>
      </c>
      <c r="M56" t="s">
        <v>34</v>
      </c>
      <c r="N56" t="s">
        <v>265</v>
      </c>
      <c r="O56" t="s">
        <v>19</v>
      </c>
      <c r="P56">
        <v>10.52</v>
      </c>
      <c r="Q56">
        <v>7.44</v>
      </c>
    </row>
    <row r="57" spans="1:17" x14ac:dyDescent="0.25">
      <c r="A57" t="s">
        <v>217</v>
      </c>
      <c r="B57" s="1">
        <v>44935</v>
      </c>
      <c r="C57" t="s">
        <v>253</v>
      </c>
      <c r="D57">
        <v>2023</v>
      </c>
      <c r="E57" t="s">
        <v>52</v>
      </c>
      <c r="F57" t="s">
        <v>37</v>
      </c>
      <c r="G57" t="s">
        <v>56</v>
      </c>
      <c r="H57">
        <v>8</v>
      </c>
      <c r="I57">
        <v>0</v>
      </c>
      <c r="J57">
        <v>0</v>
      </c>
      <c r="K57">
        <v>0</v>
      </c>
      <c r="L57" t="s">
        <v>24</v>
      </c>
      <c r="M57" t="s">
        <v>31</v>
      </c>
      <c r="N57" t="s">
        <v>267</v>
      </c>
      <c r="O57" t="s">
        <v>19</v>
      </c>
      <c r="P57">
        <v>12</v>
      </c>
      <c r="Q57">
        <v>8.52</v>
      </c>
    </row>
    <row r="58" spans="1:17" x14ac:dyDescent="0.25">
      <c r="A58" t="s">
        <v>218</v>
      </c>
      <c r="B58" s="1">
        <v>45414</v>
      </c>
      <c r="C58" t="s">
        <v>259</v>
      </c>
      <c r="D58">
        <v>2024</v>
      </c>
      <c r="E58" t="s">
        <v>49</v>
      </c>
      <c r="F58" t="s">
        <v>50</v>
      </c>
      <c r="G58" t="s">
        <v>47</v>
      </c>
      <c r="H58">
        <v>8</v>
      </c>
      <c r="I58">
        <v>0</v>
      </c>
      <c r="J58">
        <v>0</v>
      </c>
      <c r="K58">
        <v>0</v>
      </c>
      <c r="L58" t="s">
        <v>30</v>
      </c>
      <c r="M58" t="s">
        <v>31</v>
      </c>
      <c r="N58" t="s">
        <v>265</v>
      </c>
      <c r="O58" t="s">
        <v>19</v>
      </c>
      <c r="P58">
        <v>7.38</v>
      </c>
      <c r="Q58">
        <v>3.93</v>
      </c>
    </row>
    <row r="59" spans="1:17" x14ac:dyDescent="0.25">
      <c r="A59" t="s">
        <v>219</v>
      </c>
      <c r="B59" s="1">
        <v>45273</v>
      </c>
      <c r="C59" t="s">
        <v>262</v>
      </c>
      <c r="D59">
        <v>2023</v>
      </c>
      <c r="E59" t="s">
        <v>44</v>
      </c>
      <c r="F59" t="s">
        <v>37</v>
      </c>
      <c r="G59" t="s">
        <v>29</v>
      </c>
      <c r="H59">
        <v>39</v>
      </c>
      <c r="I59">
        <v>0</v>
      </c>
      <c r="J59">
        <v>0</v>
      </c>
      <c r="K59">
        <v>0</v>
      </c>
      <c r="L59" t="s">
        <v>24</v>
      </c>
      <c r="M59" t="s">
        <v>18</v>
      </c>
      <c r="N59" t="s">
        <v>267</v>
      </c>
      <c r="O59" t="s">
        <v>19</v>
      </c>
      <c r="P59">
        <v>12.99</v>
      </c>
      <c r="Q59">
        <v>7.6</v>
      </c>
    </row>
    <row r="60" spans="1:17" x14ac:dyDescent="0.25">
      <c r="A60" t="s">
        <v>222</v>
      </c>
      <c r="B60" s="1">
        <v>45255</v>
      </c>
      <c r="C60" t="s">
        <v>260</v>
      </c>
      <c r="D60">
        <v>2023</v>
      </c>
      <c r="E60" t="s">
        <v>61</v>
      </c>
      <c r="F60" t="s">
        <v>28</v>
      </c>
      <c r="G60" t="s">
        <v>38</v>
      </c>
      <c r="H60">
        <v>22</v>
      </c>
      <c r="I60">
        <v>0</v>
      </c>
      <c r="J60">
        <v>0</v>
      </c>
      <c r="K60">
        <v>0</v>
      </c>
      <c r="L60" t="s">
        <v>24</v>
      </c>
      <c r="M60" t="s">
        <v>18</v>
      </c>
      <c r="N60" t="s">
        <v>267</v>
      </c>
      <c r="O60" t="s">
        <v>19</v>
      </c>
      <c r="P60">
        <v>9.07</v>
      </c>
      <c r="Q60">
        <v>7.49</v>
      </c>
    </row>
    <row r="61" spans="1:17" x14ac:dyDescent="0.25">
      <c r="A61" t="s">
        <v>225</v>
      </c>
      <c r="B61" s="1">
        <v>45136</v>
      </c>
      <c r="C61" t="s">
        <v>261</v>
      </c>
      <c r="D61">
        <v>2023</v>
      </c>
      <c r="E61" t="s">
        <v>14</v>
      </c>
      <c r="F61" t="s">
        <v>15</v>
      </c>
      <c r="G61" t="s">
        <v>47</v>
      </c>
      <c r="H61">
        <v>16</v>
      </c>
      <c r="I61">
        <v>0</v>
      </c>
      <c r="J61">
        <v>0</v>
      </c>
      <c r="K61">
        <v>0</v>
      </c>
      <c r="L61" t="s">
        <v>17</v>
      </c>
      <c r="M61" t="s">
        <v>18</v>
      </c>
      <c r="N61" t="s">
        <v>266</v>
      </c>
      <c r="O61" t="s">
        <v>19</v>
      </c>
      <c r="P61">
        <v>6.21</v>
      </c>
      <c r="Q61">
        <v>7.07</v>
      </c>
    </row>
    <row r="62" spans="1:17" x14ac:dyDescent="0.25">
      <c r="A62" t="s">
        <v>227</v>
      </c>
      <c r="B62" s="1">
        <v>45266</v>
      </c>
      <c r="C62" t="s">
        <v>262</v>
      </c>
      <c r="D62">
        <v>2023</v>
      </c>
      <c r="E62" t="s">
        <v>65</v>
      </c>
      <c r="F62" t="s">
        <v>37</v>
      </c>
      <c r="G62" t="s">
        <v>23</v>
      </c>
      <c r="H62">
        <v>9</v>
      </c>
      <c r="I62">
        <v>0</v>
      </c>
      <c r="J62">
        <v>0</v>
      </c>
      <c r="K62">
        <v>0</v>
      </c>
      <c r="L62" t="s">
        <v>69</v>
      </c>
      <c r="M62" t="s">
        <v>34</v>
      </c>
      <c r="N62" t="s">
        <v>265</v>
      </c>
      <c r="O62" t="s">
        <v>39</v>
      </c>
      <c r="P62">
        <v>12.17</v>
      </c>
      <c r="Q62">
        <v>6.66</v>
      </c>
    </row>
    <row r="63" spans="1:17" x14ac:dyDescent="0.25">
      <c r="A63" t="s">
        <v>231</v>
      </c>
      <c r="B63" s="1">
        <v>44997</v>
      </c>
      <c r="C63" t="s">
        <v>256</v>
      </c>
      <c r="D63">
        <v>2023</v>
      </c>
      <c r="E63" t="s">
        <v>33</v>
      </c>
      <c r="F63" t="s">
        <v>22</v>
      </c>
      <c r="G63" t="s">
        <v>56</v>
      </c>
      <c r="H63">
        <v>27</v>
      </c>
      <c r="I63">
        <v>0</v>
      </c>
      <c r="J63">
        <v>0</v>
      </c>
      <c r="K63">
        <v>0</v>
      </c>
      <c r="L63" t="s">
        <v>17</v>
      </c>
      <c r="M63" t="s">
        <v>18</v>
      </c>
      <c r="N63" t="s">
        <v>266</v>
      </c>
      <c r="O63" t="s">
        <v>19</v>
      </c>
      <c r="P63">
        <v>4.75</v>
      </c>
      <c r="Q63">
        <v>7.01</v>
      </c>
    </row>
    <row r="64" spans="1:17" x14ac:dyDescent="0.25">
      <c r="A64" t="s">
        <v>232</v>
      </c>
      <c r="B64" s="1">
        <v>45164</v>
      </c>
      <c r="C64" t="s">
        <v>254</v>
      </c>
      <c r="D64">
        <v>2023</v>
      </c>
      <c r="E64" t="s">
        <v>52</v>
      </c>
      <c r="F64" t="s">
        <v>37</v>
      </c>
      <c r="G64" t="s">
        <v>56</v>
      </c>
      <c r="H64">
        <v>29</v>
      </c>
      <c r="I64">
        <v>0</v>
      </c>
      <c r="J64">
        <v>0</v>
      </c>
      <c r="K64">
        <v>0</v>
      </c>
      <c r="L64" t="s">
        <v>24</v>
      </c>
      <c r="M64" t="s">
        <v>25</v>
      </c>
      <c r="N64" t="s">
        <v>267</v>
      </c>
      <c r="O64" t="s">
        <v>19</v>
      </c>
      <c r="P64">
        <v>12</v>
      </c>
      <c r="Q64">
        <v>8.52</v>
      </c>
    </row>
    <row r="65" spans="1:17" x14ac:dyDescent="0.25">
      <c r="A65" t="s">
        <v>239</v>
      </c>
      <c r="B65" s="1">
        <v>45033</v>
      </c>
      <c r="C65" t="s">
        <v>258</v>
      </c>
      <c r="D65">
        <v>2023</v>
      </c>
      <c r="E65" t="s">
        <v>61</v>
      </c>
      <c r="F65" t="s">
        <v>28</v>
      </c>
      <c r="G65" t="s">
        <v>16</v>
      </c>
      <c r="H65">
        <v>12</v>
      </c>
      <c r="I65">
        <v>0</v>
      </c>
      <c r="J65">
        <v>0</v>
      </c>
      <c r="K65">
        <v>0</v>
      </c>
      <c r="L65" t="s">
        <v>30</v>
      </c>
      <c r="M65" t="s">
        <v>31</v>
      </c>
      <c r="N65" t="s">
        <v>265</v>
      </c>
      <c r="O65" t="s">
        <v>19</v>
      </c>
      <c r="P65">
        <v>9.07</v>
      </c>
      <c r="Q65">
        <v>7.49</v>
      </c>
    </row>
    <row r="66" spans="1:17" x14ac:dyDescent="0.25">
      <c r="A66" t="s">
        <v>242</v>
      </c>
      <c r="B66" s="1">
        <v>45164</v>
      </c>
      <c r="C66" t="s">
        <v>254</v>
      </c>
      <c r="D66">
        <v>2023</v>
      </c>
      <c r="E66" t="s">
        <v>65</v>
      </c>
      <c r="F66" t="s">
        <v>37</v>
      </c>
      <c r="G66" t="s">
        <v>42</v>
      </c>
      <c r="H66">
        <v>20</v>
      </c>
      <c r="I66">
        <v>0</v>
      </c>
      <c r="J66">
        <v>0</v>
      </c>
      <c r="K66">
        <v>0</v>
      </c>
      <c r="L66" t="s">
        <v>24</v>
      </c>
      <c r="M66" t="s">
        <v>31</v>
      </c>
      <c r="N66" t="s">
        <v>267</v>
      </c>
      <c r="O66" t="s">
        <v>39</v>
      </c>
      <c r="P66">
        <v>12.17</v>
      </c>
      <c r="Q66">
        <v>6.66</v>
      </c>
    </row>
    <row r="67" spans="1:17" x14ac:dyDescent="0.25">
      <c r="A67" t="s">
        <v>243</v>
      </c>
      <c r="B67" s="1">
        <v>45172</v>
      </c>
      <c r="C67" t="s">
        <v>257</v>
      </c>
      <c r="D67">
        <v>2023</v>
      </c>
      <c r="E67" t="s">
        <v>61</v>
      </c>
      <c r="F67" t="s">
        <v>28</v>
      </c>
      <c r="G67" t="s">
        <v>16</v>
      </c>
      <c r="H67">
        <v>26</v>
      </c>
      <c r="I67">
        <v>0</v>
      </c>
      <c r="J67">
        <v>0</v>
      </c>
      <c r="K67">
        <v>0</v>
      </c>
      <c r="L67" t="s">
        <v>17</v>
      </c>
      <c r="M67" t="s">
        <v>18</v>
      </c>
      <c r="N67" t="s">
        <v>266</v>
      </c>
      <c r="O67" t="s">
        <v>19</v>
      </c>
      <c r="P67">
        <v>9.07</v>
      </c>
      <c r="Q67">
        <v>7.49</v>
      </c>
    </row>
    <row r="68" spans="1:17" x14ac:dyDescent="0.25">
      <c r="A68" t="s">
        <v>244</v>
      </c>
      <c r="B68" s="1">
        <v>45321</v>
      </c>
      <c r="C68" t="s">
        <v>253</v>
      </c>
      <c r="D68">
        <v>2024</v>
      </c>
      <c r="E68" t="s">
        <v>65</v>
      </c>
      <c r="F68" t="s">
        <v>37</v>
      </c>
      <c r="G68" t="s">
        <v>47</v>
      </c>
      <c r="H68">
        <v>6</v>
      </c>
      <c r="I68">
        <v>0</v>
      </c>
      <c r="J68">
        <v>0</v>
      </c>
      <c r="K68">
        <v>0</v>
      </c>
      <c r="L68" t="s">
        <v>30</v>
      </c>
      <c r="M68" t="s">
        <v>18</v>
      </c>
      <c r="N68" t="s">
        <v>265</v>
      </c>
      <c r="O68" t="s">
        <v>19</v>
      </c>
      <c r="P68">
        <v>12.17</v>
      </c>
      <c r="Q68">
        <v>6.66</v>
      </c>
    </row>
    <row r="69" spans="1:17" x14ac:dyDescent="0.25">
      <c r="A69" t="s">
        <v>245</v>
      </c>
      <c r="B69" s="1">
        <v>45131</v>
      </c>
      <c r="C69" t="s">
        <v>261</v>
      </c>
      <c r="D69">
        <v>2023</v>
      </c>
      <c r="E69" t="s">
        <v>65</v>
      </c>
      <c r="F69" t="s">
        <v>37</v>
      </c>
      <c r="G69" t="s">
        <v>47</v>
      </c>
      <c r="H69">
        <v>27</v>
      </c>
      <c r="I69">
        <v>0</v>
      </c>
      <c r="J69">
        <v>0</v>
      </c>
      <c r="K69">
        <v>0</v>
      </c>
      <c r="L69" t="s">
        <v>30</v>
      </c>
      <c r="M69" t="s">
        <v>25</v>
      </c>
      <c r="N69" t="s">
        <v>265</v>
      </c>
      <c r="O69" t="s">
        <v>39</v>
      </c>
      <c r="P69">
        <v>12.17</v>
      </c>
      <c r="Q69">
        <v>6.66</v>
      </c>
    </row>
    <row r="70" spans="1:17" x14ac:dyDescent="0.25">
      <c r="A70" t="s">
        <v>246</v>
      </c>
      <c r="B70" s="1">
        <v>45323</v>
      </c>
      <c r="C70" t="s">
        <v>255</v>
      </c>
      <c r="D70">
        <v>2024</v>
      </c>
      <c r="E70" t="s">
        <v>44</v>
      </c>
      <c r="F70" t="s">
        <v>37</v>
      </c>
      <c r="G70" t="s">
        <v>29</v>
      </c>
      <c r="H70">
        <v>5</v>
      </c>
      <c r="I70">
        <v>0</v>
      </c>
      <c r="J70">
        <v>0</v>
      </c>
      <c r="K70">
        <v>0</v>
      </c>
      <c r="L70" t="s">
        <v>30</v>
      </c>
      <c r="M70" t="s">
        <v>34</v>
      </c>
      <c r="N70" t="s">
        <v>265</v>
      </c>
      <c r="O70" t="s">
        <v>39</v>
      </c>
      <c r="P70">
        <v>12.99</v>
      </c>
      <c r="Q70">
        <v>7.6</v>
      </c>
    </row>
    <row r="71" spans="1:17" x14ac:dyDescent="0.25">
      <c r="A71" t="s">
        <v>248</v>
      </c>
      <c r="B71" s="1">
        <v>45015</v>
      </c>
      <c r="C71" t="s">
        <v>256</v>
      </c>
      <c r="D71">
        <v>2023</v>
      </c>
      <c r="E71" t="s">
        <v>61</v>
      </c>
      <c r="F71" t="s">
        <v>28</v>
      </c>
      <c r="G71" t="s">
        <v>23</v>
      </c>
      <c r="H71">
        <v>32</v>
      </c>
      <c r="I71">
        <v>0</v>
      </c>
      <c r="J71">
        <v>0</v>
      </c>
      <c r="K71">
        <v>0</v>
      </c>
      <c r="L71" t="s">
        <v>17</v>
      </c>
      <c r="M71" t="s">
        <v>25</v>
      </c>
      <c r="N71" t="s">
        <v>266</v>
      </c>
      <c r="O71" t="s">
        <v>19</v>
      </c>
      <c r="P71">
        <v>9.07</v>
      </c>
      <c r="Q71">
        <v>7.49</v>
      </c>
    </row>
    <row r="72" spans="1:17" x14ac:dyDescent="0.25">
      <c r="A72" t="s">
        <v>13</v>
      </c>
      <c r="B72" s="1">
        <v>45228</v>
      </c>
      <c r="C72" t="s">
        <v>251</v>
      </c>
      <c r="D72">
        <v>2023</v>
      </c>
      <c r="E72" t="s">
        <v>14</v>
      </c>
      <c r="F72" t="s">
        <v>15</v>
      </c>
      <c r="G72" t="s">
        <v>16</v>
      </c>
      <c r="H72">
        <v>35</v>
      </c>
      <c r="I72">
        <v>72497088</v>
      </c>
      <c r="J72">
        <v>0</v>
      </c>
      <c r="K72">
        <v>72497088</v>
      </c>
      <c r="L72" t="s">
        <v>17</v>
      </c>
      <c r="M72" t="s">
        <v>18</v>
      </c>
      <c r="N72" t="s">
        <v>266</v>
      </c>
      <c r="O72" t="s">
        <v>19</v>
      </c>
      <c r="P72">
        <v>6.21</v>
      </c>
      <c r="Q72">
        <v>7.07</v>
      </c>
    </row>
    <row r="73" spans="1:17" x14ac:dyDescent="0.25">
      <c r="A73" t="s">
        <v>20</v>
      </c>
      <c r="B73" s="1">
        <v>45091</v>
      </c>
      <c r="C73" t="s">
        <v>252</v>
      </c>
      <c r="D73">
        <v>2023</v>
      </c>
      <c r="E73" t="s">
        <v>21</v>
      </c>
      <c r="F73" t="s">
        <v>22</v>
      </c>
      <c r="G73" t="s">
        <v>23</v>
      </c>
      <c r="H73">
        <v>33</v>
      </c>
      <c r="I73">
        <v>77888592</v>
      </c>
      <c r="J73">
        <v>0</v>
      </c>
      <c r="K73">
        <v>77888592</v>
      </c>
      <c r="L73" t="s">
        <v>24</v>
      </c>
      <c r="M73" t="s">
        <v>25</v>
      </c>
      <c r="N73" t="s">
        <v>267</v>
      </c>
      <c r="O73" t="s">
        <v>19</v>
      </c>
      <c r="P73">
        <v>5.7</v>
      </c>
      <c r="Q73">
        <v>5.9</v>
      </c>
    </row>
    <row r="74" spans="1:17" x14ac:dyDescent="0.25">
      <c r="A74" t="s">
        <v>40</v>
      </c>
      <c r="B74" s="1">
        <v>45012</v>
      </c>
      <c r="C74" t="s">
        <v>256</v>
      </c>
      <c r="D74">
        <v>2023</v>
      </c>
      <c r="E74" t="s">
        <v>33</v>
      </c>
      <c r="F74" t="s">
        <v>22</v>
      </c>
      <c r="G74" t="s">
        <v>23</v>
      </c>
      <c r="H74">
        <v>32</v>
      </c>
      <c r="I74">
        <v>75745312</v>
      </c>
      <c r="J74">
        <v>0</v>
      </c>
      <c r="K74">
        <v>75745312</v>
      </c>
      <c r="L74" t="s">
        <v>24</v>
      </c>
      <c r="M74" t="s">
        <v>31</v>
      </c>
      <c r="N74" t="s">
        <v>267</v>
      </c>
      <c r="O74" t="s">
        <v>39</v>
      </c>
      <c r="P74">
        <v>4.75</v>
      </c>
      <c r="Q74">
        <v>7.01</v>
      </c>
    </row>
    <row r="75" spans="1:17" x14ac:dyDescent="0.25">
      <c r="A75" t="s">
        <v>53</v>
      </c>
      <c r="B75" s="1">
        <v>45320</v>
      </c>
      <c r="C75" t="s">
        <v>253</v>
      </c>
      <c r="D75">
        <v>2024</v>
      </c>
      <c r="E75" t="s">
        <v>54</v>
      </c>
      <c r="F75" t="s">
        <v>55</v>
      </c>
      <c r="G75" t="s">
        <v>56</v>
      </c>
      <c r="H75">
        <v>5</v>
      </c>
      <c r="I75">
        <v>50380697</v>
      </c>
      <c r="J75">
        <v>0</v>
      </c>
      <c r="K75">
        <v>50380697</v>
      </c>
      <c r="L75" t="s">
        <v>24</v>
      </c>
      <c r="M75" t="s">
        <v>25</v>
      </c>
      <c r="N75" t="s">
        <v>267</v>
      </c>
      <c r="O75" t="s">
        <v>19</v>
      </c>
      <c r="P75">
        <v>11.83</v>
      </c>
      <c r="Q75">
        <v>13.15</v>
      </c>
    </row>
    <row r="76" spans="1:17" x14ac:dyDescent="0.25">
      <c r="A76" t="s">
        <v>57</v>
      </c>
      <c r="B76" s="1">
        <v>45253</v>
      </c>
      <c r="C76" t="s">
        <v>260</v>
      </c>
      <c r="D76">
        <v>2023</v>
      </c>
      <c r="E76" t="s">
        <v>58</v>
      </c>
      <c r="F76" t="s">
        <v>50</v>
      </c>
      <c r="G76" t="s">
        <v>29</v>
      </c>
      <c r="H76">
        <v>33</v>
      </c>
      <c r="I76">
        <v>92733780</v>
      </c>
      <c r="J76">
        <v>0</v>
      </c>
      <c r="K76">
        <v>92733780</v>
      </c>
      <c r="L76" t="s">
        <v>17</v>
      </c>
      <c r="M76" t="s">
        <v>25</v>
      </c>
      <c r="N76" t="s">
        <v>266</v>
      </c>
      <c r="O76" t="s">
        <v>19</v>
      </c>
      <c r="P76">
        <v>6.9</v>
      </c>
      <c r="Q76">
        <v>3.3</v>
      </c>
    </row>
    <row r="77" spans="1:17" x14ac:dyDescent="0.25">
      <c r="A77" t="s">
        <v>60</v>
      </c>
      <c r="B77" s="1">
        <v>45106</v>
      </c>
      <c r="C77" t="s">
        <v>252</v>
      </c>
      <c r="D77">
        <v>2023</v>
      </c>
      <c r="E77" t="s">
        <v>61</v>
      </c>
      <c r="F77" t="s">
        <v>28</v>
      </c>
      <c r="G77" t="s">
        <v>47</v>
      </c>
      <c r="H77">
        <v>31</v>
      </c>
      <c r="I77">
        <v>21837137</v>
      </c>
      <c r="J77">
        <v>0</v>
      </c>
      <c r="K77">
        <v>21837137</v>
      </c>
      <c r="L77" t="s">
        <v>17</v>
      </c>
      <c r="M77" t="s">
        <v>31</v>
      </c>
      <c r="N77" t="s">
        <v>266</v>
      </c>
      <c r="O77" t="s">
        <v>39</v>
      </c>
      <c r="P77">
        <v>9.07</v>
      </c>
      <c r="Q77">
        <v>7.49</v>
      </c>
    </row>
    <row r="78" spans="1:17" x14ac:dyDescent="0.25">
      <c r="A78" t="s">
        <v>63</v>
      </c>
      <c r="B78" s="1">
        <v>45213</v>
      </c>
      <c r="C78" t="s">
        <v>251</v>
      </c>
      <c r="D78">
        <v>2023</v>
      </c>
      <c r="E78" t="s">
        <v>36</v>
      </c>
      <c r="F78" t="s">
        <v>37</v>
      </c>
      <c r="G78" t="s">
        <v>38</v>
      </c>
      <c r="H78">
        <v>27</v>
      </c>
      <c r="I78">
        <v>102642847</v>
      </c>
      <c r="J78">
        <v>0</v>
      </c>
      <c r="K78">
        <v>102642847</v>
      </c>
      <c r="L78" t="s">
        <v>17</v>
      </c>
      <c r="M78" t="s">
        <v>25</v>
      </c>
      <c r="N78" t="s">
        <v>266</v>
      </c>
      <c r="O78" t="s">
        <v>19</v>
      </c>
      <c r="P78">
        <v>10.52</v>
      </c>
      <c r="Q78">
        <v>7.44</v>
      </c>
    </row>
    <row r="79" spans="1:17" x14ac:dyDescent="0.25">
      <c r="A79" t="s">
        <v>64</v>
      </c>
      <c r="B79" s="1">
        <v>45196</v>
      </c>
      <c r="C79" t="s">
        <v>257</v>
      </c>
      <c r="D79">
        <v>2023</v>
      </c>
      <c r="E79" t="s">
        <v>65</v>
      </c>
      <c r="F79" t="s">
        <v>37</v>
      </c>
      <c r="G79" t="s">
        <v>29</v>
      </c>
      <c r="H79">
        <v>32</v>
      </c>
      <c r="I79">
        <v>145308817</v>
      </c>
      <c r="J79">
        <v>0</v>
      </c>
      <c r="K79">
        <v>145308817</v>
      </c>
      <c r="L79" t="s">
        <v>30</v>
      </c>
      <c r="M79" t="s">
        <v>25</v>
      </c>
      <c r="N79" t="s">
        <v>265</v>
      </c>
      <c r="O79" t="s">
        <v>39</v>
      </c>
      <c r="P79">
        <v>12.17</v>
      </c>
      <c r="Q79">
        <v>6.66</v>
      </c>
    </row>
    <row r="80" spans="1:17" x14ac:dyDescent="0.25">
      <c r="A80" t="s">
        <v>71</v>
      </c>
      <c r="B80" s="1">
        <v>45092</v>
      </c>
      <c r="C80" t="s">
        <v>252</v>
      </c>
      <c r="D80">
        <v>2023</v>
      </c>
      <c r="E80" t="s">
        <v>52</v>
      </c>
      <c r="F80" t="s">
        <v>37</v>
      </c>
      <c r="G80" t="s">
        <v>16</v>
      </c>
      <c r="H80">
        <v>36</v>
      </c>
      <c r="I80">
        <v>47825360</v>
      </c>
      <c r="J80">
        <v>0</v>
      </c>
      <c r="K80">
        <v>47825360</v>
      </c>
      <c r="L80" t="s">
        <v>17</v>
      </c>
      <c r="M80" t="s">
        <v>34</v>
      </c>
      <c r="N80" t="s">
        <v>266</v>
      </c>
      <c r="O80" t="s">
        <v>19</v>
      </c>
      <c r="P80">
        <v>12</v>
      </c>
      <c r="Q80">
        <v>8.52</v>
      </c>
    </row>
    <row r="81" spans="1:17" x14ac:dyDescent="0.25">
      <c r="A81" t="s">
        <v>74</v>
      </c>
      <c r="B81" s="1">
        <v>44937</v>
      </c>
      <c r="C81" t="s">
        <v>253</v>
      </c>
      <c r="D81">
        <v>2023</v>
      </c>
      <c r="E81" t="s">
        <v>54</v>
      </c>
      <c r="F81" t="s">
        <v>55</v>
      </c>
      <c r="G81" t="s">
        <v>16</v>
      </c>
      <c r="H81">
        <v>39</v>
      </c>
      <c r="I81">
        <v>96870496</v>
      </c>
      <c r="J81">
        <v>0</v>
      </c>
      <c r="K81">
        <v>96870496</v>
      </c>
      <c r="L81" t="s">
        <v>30</v>
      </c>
      <c r="M81" t="s">
        <v>18</v>
      </c>
      <c r="N81" t="s">
        <v>265</v>
      </c>
      <c r="O81" t="s">
        <v>39</v>
      </c>
      <c r="P81">
        <v>11.83</v>
      </c>
      <c r="Q81">
        <v>13.15</v>
      </c>
    </row>
    <row r="82" spans="1:17" x14ac:dyDescent="0.25">
      <c r="A82" t="s">
        <v>76</v>
      </c>
      <c r="B82" s="1">
        <v>45271</v>
      </c>
      <c r="C82" t="s">
        <v>262</v>
      </c>
      <c r="D82">
        <v>2023</v>
      </c>
      <c r="E82" t="s">
        <v>58</v>
      </c>
      <c r="F82" t="s">
        <v>50</v>
      </c>
      <c r="G82" t="s">
        <v>23</v>
      </c>
      <c r="H82">
        <v>20</v>
      </c>
      <c r="I82">
        <v>65684623</v>
      </c>
      <c r="J82">
        <v>0</v>
      </c>
      <c r="K82">
        <v>65684623</v>
      </c>
      <c r="L82" t="s">
        <v>30</v>
      </c>
      <c r="M82" t="s">
        <v>31</v>
      </c>
      <c r="N82" t="s">
        <v>265</v>
      </c>
      <c r="O82" t="s">
        <v>19</v>
      </c>
      <c r="P82">
        <v>6.9</v>
      </c>
      <c r="Q82">
        <v>3.3</v>
      </c>
    </row>
    <row r="83" spans="1:17" x14ac:dyDescent="0.25">
      <c r="A83" t="s">
        <v>79</v>
      </c>
      <c r="B83" s="1">
        <v>45381</v>
      </c>
      <c r="C83" t="s">
        <v>256</v>
      </c>
      <c r="D83">
        <v>2024</v>
      </c>
      <c r="E83" t="s">
        <v>49</v>
      </c>
      <c r="F83" t="s">
        <v>50</v>
      </c>
      <c r="G83" t="s">
        <v>29</v>
      </c>
      <c r="H83">
        <v>26</v>
      </c>
      <c r="I83">
        <v>42890213</v>
      </c>
      <c r="J83">
        <v>0</v>
      </c>
      <c r="K83">
        <v>42890213</v>
      </c>
      <c r="L83" t="s">
        <v>30</v>
      </c>
      <c r="M83" t="s">
        <v>31</v>
      </c>
      <c r="N83" t="s">
        <v>265</v>
      </c>
      <c r="O83" t="s">
        <v>19</v>
      </c>
      <c r="P83">
        <v>7.38</v>
      </c>
      <c r="Q83">
        <v>3.93</v>
      </c>
    </row>
    <row r="84" spans="1:17" x14ac:dyDescent="0.25">
      <c r="A84" t="s">
        <v>80</v>
      </c>
      <c r="B84" s="1">
        <v>45202</v>
      </c>
      <c r="C84" t="s">
        <v>251</v>
      </c>
      <c r="D84">
        <v>2023</v>
      </c>
      <c r="E84" t="s">
        <v>58</v>
      </c>
      <c r="F84" t="s">
        <v>50</v>
      </c>
      <c r="G84" t="s">
        <v>16</v>
      </c>
      <c r="H84">
        <v>25</v>
      </c>
      <c r="I84">
        <v>125713988</v>
      </c>
      <c r="J84">
        <v>0</v>
      </c>
      <c r="K84">
        <v>125713988</v>
      </c>
      <c r="L84" t="s">
        <v>30</v>
      </c>
      <c r="M84" t="s">
        <v>18</v>
      </c>
      <c r="N84" t="s">
        <v>265</v>
      </c>
      <c r="O84" t="s">
        <v>39</v>
      </c>
      <c r="P84">
        <v>6.9</v>
      </c>
      <c r="Q84">
        <v>3.3</v>
      </c>
    </row>
    <row r="85" spans="1:17" x14ac:dyDescent="0.25">
      <c r="A85" t="s">
        <v>82</v>
      </c>
      <c r="B85" s="1">
        <v>44982</v>
      </c>
      <c r="C85" t="s">
        <v>255</v>
      </c>
      <c r="D85">
        <v>2023</v>
      </c>
      <c r="E85" t="s">
        <v>52</v>
      </c>
      <c r="F85" t="s">
        <v>37</v>
      </c>
      <c r="G85" t="s">
        <v>29</v>
      </c>
      <c r="H85">
        <v>13</v>
      </c>
      <c r="I85">
        <v>126039628</v>
      </c>
      <c r="J85">
        <v>0</v>
      </c>
      <c r="K85">
        <v>126039628</v>
      </c>
      <c r="L85" t="s">
        <v>69</v>
      </c>
      <c r="M85" t="s">
        <v>34</v>
      </c>
      <c r="N85" t="s">
        <v>265</v>
      </c>
      <c r="O85" t="s">
        <v>19</v>
      </c>
      <c r="P85">
        <v>12</v>
      </c>
      <c r="Q85">
        <v>8.52</v>
      </c>
    </row>
    <row r="86" spans="1:17" x14ac:dyDescent="0.25">
      <c r="A86" t="s">
        <v>88</v>
      </c>
      <c r="B86" s="1">
        <v>44998</v>
      </c>
      <c r="C86" t="s">
        <v>256</v>
      </c>
      <c r="D86">
        <v>2023</v>
      </c>
      <c r="E86" t="s">
        <v>36</v>
      </c>
      <c r="F86" t="s">
        <v>37</v>
      </c>
      <c r="G86" t="s">
        <v>23</v>
      </c>
      <c r="H86">
        <v>14</v>
      </c>
      <c r="I86">
        <v>34358871</v>
      </c>
      <c r="J86">
        <v>0</v>
      </c>
      <c r="K86">
        <v>34358871</v>
      </c>
      <c r="L86" t="s">
        <v>24</v>
      </c>
      <c r="M86" t="s">
        <v>25</v>
      </c>
      <c r="N86" t="s">
        <v>267</v>
      </c>
      <c r="O86" t="s">
        <v>19</v>
      </c>
      <c r="P86">
        <v>10.52</v>
      </c>
      <c r="Q86">
        <v>7.44</v>
      </c>
    </row>
    <row r="87" spans="1:17" x14ac:dyDescent="0.25">
      <c r="A87" t="s">
        <v>89</v>
      </c>
      <c r="B87" s="1">
        <v>45195</v>
      </c>
      <c r="C87" t="s">
        <v>257</v>
      </c>
      <c r="D87">
        <v>2023</v>
      </c>
      <c r="E87" t="s">
        <v>14</v>
      </c>
      <c r="F87" t="s">
        <v>15</v>
      </c>
      <c r="G87" t="s">
        <v>38</v>
      </c>
      <c r="H87">
        <v>17</v>
      </c>
      <c r="I87">
        <v>30087558</v>
      </c>
      <c r="J87">
        <v>0</v>
      </c>
      <c r="K87">
        <v>30087558</v>
      </c>
      <c r="L87" t="s">
        <v>17</v>
      </c>
      <c r="M87" t="s">
        <v>25</v>
      </c>
      <c r="N87" t="s">
        <v>266</v>
      </c>
      <c r="O87" t="s">
        <v>19</v>
      </c>
      <c r="P87">
        <v>6.21</v>
      </c>
      <c r="Q87">
        <v>7.07</v>
      </c>
    </row>
    <row r="88" spans="1:17" x14ac:dyDescent="0.25">
      <c r="A88" t="s">
        <v>96</v>
      </c>
      <c r="B88" s="1">
        <v>45011</v>
      </c>
      <c r="C88" t="s">
        <v>256</v>
      </c>
      <c r="D88">
        <v>2023</v>
      </c>
      <c r="E88" t="s">
        <v>61</v>
      </c>
      <c r="F88" t="s">
        <v>28</v>
      </c>
      <c r="G88" t="s">
        <v>42</v>
      </c>
      <c r="H88">
        <v>36</v>
      </c>
      <c r="I88">
        <v>131654088</v>
      </c>
      <c r="J88">
        <v>0</v>
      </c>
      <c r="K88">
        <v>131654088</v>
      </c>
      <c r="L88" t="s">
        <v>69</v>
      </c>
      <c r="M88" t="s">
        <v>18</v>
      </c>
      <c r="N88" t="s">
        <v>265</v>
      </c>
      <c r="O88" t="s">
        <v>39</v>
      </c>
      <c r="P88">
        <v>9.07</v>
      </c>
      <c r="Q88">
        <v>7.49</v>
      </c>
    </row>
    <row r="89" spans="1:17" x14ac:dyDescent="0.25">
      <c r="A89" t="s">
        <v>100</v>
      </c>
      <c r="B89" s="1">
        <v>45219</v>
      </c>
      <c r="C89" t="s">
        <v>251</v>
      </c>
      <c r="D89">
        <v>2023</v>
      </c>
      <c r="E89" t="s">
        <v>65</v>
      </c>
      <c r="F89" t="s">
        <v>37</v>
      </c>
      <c r="G89" t="s">
        <v>16</v>
      </c>
      <c r="H89">
        <v>37</v>
      </c>
      <c r="I89">
        <v>36546178</v>
      </c>
      <c r="J89">
        <v>0</v>
      </c>
      <c r="K89">
        <v>36546178</v>
      </c>
      <c r="L89" t="s">
        <v>17</v>
      </c>
      <c r="M89" t="s">
        <v>25</v>
      </c>
      <c r="N89" t="s">
        <v>266</v>
      </c>
      <c r="O89" t="s">
        <v>39</v>
      </c>
      <c r="P89">
        <v>12.17</v>
      </c>
      <c r="Q89">
        <v>6.66</v>
      </c>
    </row>
    <row r="90" spans="1:17" x14ac:dyDescent="0.25">
      <c r="A90" t="s">
        <v>103</v>
      </c>
      <c r="B90" s="1">
        <v>45277</v>
      </c>
      <c r="C90" t="s">
        <v>262</v>
      </c>
      <c r="D90">
        <v>2023</v>
      </c>
      <c r="E90" t="s">
        <v>65</v>
      </c>
      <c r="F90" t="s">
        <v>37</v>
      </c>
      <c r="G90" t="s">
        <v>56</v>
      </c>
      <c r="H90">
        <v>27</v>
      </c>
      <c r="I90">
        <v>121244091</v>
      </c>
      <c r="J90">
        <v>0</v>
      </c>
      <c r="K90">
        <v>121244091</v>
      </c>
      <c r="L90" t="s">
        <v>17</v>
      </c>
      <c r="M90" t="s">
        <v>25</v>
      </c>
      <c r="N90" t="s">
        <v>266</v>
      </c>
      <c r="O90" t="s">
        <v>19</v>
      </c>
      <c r="P90">
        <v>12.17</v>
      </c>
      <c r="Q90">
        <v>6.66</v>
      </c>
    </row>
    <row r="91" spans="1:17" x14ac:dyDescent="0.25">
      <c r="A91" t="s">
        <v>105</v>
      </c>
      <c r="B91" s="1">
        <v>45047</v>
      </c>
      <c r="C91" t="s">
        <v>259</v>
      </c>
      <c r="D91">
        <v>2023</v>
      </c>
      <c r="E91" t="s">
        <v>61</v>
      </c>
      <c r="F91" t="s">
        <v>28</v>
      </c>
      <c r="G91" t="s">
        <v>29</v>
      </c>
      <c r="H91">
        <v>39</v>
      </c>
      <c r="I91">
        <v>116143465</v>
      </c>
      <c r="J91">
        <v>0</v>
      </c>
      <c r="K91">
        <v>116143465</v>
      </c>
      <c r="L91" t="s">
        <v>24</v>
      </c>
      <c r="M91" t="s">
        <v>31</v>
      </c>
      <c r="N91" t="s">
        <v>267</v>
      </c>
      <c r="O91" t="s">
        <v>19</v>
      </c>
      <c r="P91">
        <v>9.07</v>
      </c>
      <c r="Q91">
        <v>7.49</v>
      </c>
    </row>
    <row r="92" spans="1:17" x14ac:dyDescent="0.25">
      <c r="A92" t="s">
        <v>106</v>
      </c>
      <c r="B92" s="1">
        <v>45246</v>
      </c>
      <c r="C92" t="s">
        <v>260</v>
      </c>
      <c r="D92">
        <v>2023</v>
      </c>
      <c r="E92" t="s">
        <v>36</v>
      </c>
      <c r="F92" t="s">
        <v>37</v>
      </c>
      <c r="G92" t="s">
        <v>56</v>
      </c>
      <c r="H92">
        <v>5</v>
      </c>
      <c r="I92">
        <v>82813467</v>
      </c>
      <c r="J92">
        <v>0</v>
      </c>
      <c r="K92">
        <v>82813467</v>
      </c>
      <c r="L92" t="s">
        <v>17</v>
      </c>
      <c r="M92" t="s">
        <v>34</v>
      </c>
      <c r="N92" t="s">
        <v>266</v>
      </c>
      <c r="O92" t="s">
        <v>39</v>
      </c>
      <c r="P92">
        <v>10.52</v>
      </c>
      <c r="Q92">
        <v>7.44</v>
      </c>
    </row>
    <row r="93" spans="1:17" x14ac:dyDescent="0.25">
      <c r="A93" t="s">
        <v>107</v>
      </c>
      <c r="B93" s="1">
        <v>45360</v>
      </c>
      <c r="C93" t="s">
        <v>256</v>
      </c>
      <c r="D93">
        <v>2024</v>
      </c>
      <c r="E93" t="s">
        <v>58</v>
      </c>
      <c r="F93" t="s">
        <v>50</v>
      </c>
      <c r="G93" t="s">
        <v>56</v>
      </c>
      <c r="H93">
        <v>9</v>
      </c>
      <c r="I93">
        <v>93312082</v>
      </c>
      <c r="J93">
        <v>0</v>
      </c>
      <c r="K93">
        <v>93312082</v>
      </c>
      <c r="L93" t="s">
        <v>69</v>
      </c>
      <c r="M93" t="s">
        <v>34</v>
      </c>
      <c r="N93" t="s">
        <v>265</v>
      </c>
      <c r="O93" t="s">
        <v>39</v>
      </c>
      <c r="P93">
        <v>6.9</v>
      </c>
      <c r="Q93">
        <v>3.3</v>
      </c>
    </row>
    <row r="94" spans="1:17" x14ac:dyDescent="0.25">
      <c r="A94" t="s">
        <v>110</v>
      </c>
      <c r="B94" s="1">
        <v>45283</v>
      </c>
      <c r="C94" t="s">
        <v>262</v>
      </c>
      <c r="D94">
        <v>2023</v>
      </c>
      <c r="E94" t="s">
        <v>61</v>
      </c>
      <c r="F94" t="s">
        <v>28</v>
      </c>
      <c r="G94" t="s">
        <v>42</v>
      </c>
      <c r="H94">
        <v>14</v>
      </c>
      <c r="I94">
        <v>28536684</v>
      </c>
      <c r="J94">
        <v>0</v>
      </c>
      <c r="K94">
        <v>28536684</v>
      </c>
      <c r="L94" t="s">
        <v>30</v>
      </c>
      <c r="M94" t="s">
        <v>31</v>
      </c>
      <c r="N94" t="s">
        <v>265</v>
      </c>
      <c r="O94" t="s">
        <v>19</v>
      </c>
      <c r="P94">
        <v>9.07</v>
      </c>
      <c r="Q94">
        <v>7.49</v>
      </c>
    </row>
    <row r="95" spans="1:17" x14ac:dyDescent="0.25">
      <c r="A95" t="s">
        <v>115</v>
      </c>
      <c r="B95" s="1">
        <v>45315</v>
      </c>
      <c r="C95" t="s">
        <v>253</v>
      </c>
      <c r="D95">
        <v>2024</v>
      </c>
      <c r="E95" t="s">
        <v>61</v>
      </c>
      <c r="F95" t="s">
        <v>28</v>
      </c>
      <c r="G95" t="s">
        <v>38</v>
      </c>
      <c r="H95">
        <v>16</v>
      </c>
      <c r="I95">
        <v>10211622</v>
      </c>
      <c r="J95">
        <v>0</v>
      </c>
      <c r="K95">
        <v>10211622</v>
      </c>
      <c r="L95" t="s">
        <v>69</v>
      </c>
      <c r="M95" t="s">
        <v>25</v>
      </c>
      <c r="N95" t="s">
        <v>265</v>
      </c>
      <c r="O95" t="s">
        <v>39</v>
      </c>
      <c r="P95">
        <v>9.07</v>
      </c>
      <c r="Q95">
        <v>7.49</v>
      </c>
    </row>
    <row r="96" spans="1:17" x14ac:dyDescent="0.25">
      <c r="A96" t="s">
        <v>117</v>
      </c>
      <c r="B96" s="1">
        <v>45059</v>
      </c>
      <c r="C96" t="s">
        <v>259</v>
      </c>
      <c r="D96">
        <v>2023</v>
      </c>
      <c r="E96" t="s">
        <v>49</v>
      </c>
      <c r="F96" t="s">
        <v>50</v>
      </c>
      <c r="G96" t="s">
        <v>56</v>
      </c>
      <c r="H96">
        <v>38</v>
      </c>
      <c r="I96">
        <v>60325495</v>
      </c>
      <c r="J96">
        <v>0</v>
      </c>
      <c r="K96">
        <v>60325495</v>
      </c>
      <c r="L96" t="s">
        <v>17</v>
      </c>
      <c r="M96" t="s">
        <v>31</v>
      </c>
      <c r="N96" t="s">
        <v>266</v>
      </c>
      <c r="O96" t="s">
        <v>39</v>
      </c>
      <c r="P96">
        <v>7.38</v>
      </c>
      <c r="Q96">
        <v>3.93</v>
      </c>
    </row>
    <row r="97" spans="1:17" x14ac:dyDescent="0.25">
      <c r="A97" t="s">
        <v>119</v>
      </c>
      <c r="B97" s="1">
        <v>45322</v>
      </c>
      <c r="C97" t="s">
        <v>253</v>
      </c>
      <c r="D97">
        <v>2024</v>
      </c>
      <c r="E97" t="s">
        <v>65</v>
      </c>
      <c r="F97" t="s">
        <v>37</v>
      </c>
      <c r="G97" t="s">
        <v>38</v>
      </c>
      <c r="H97">
        <v>3</v>
      </c>
      <c r="I97">
        <v>16813928</v>
      </c>
      <c r="J97">
        <v>0</v>
      </c>
      <c r="K97">
        <v>16813928</v>
      </c>
      <c r="L97" t="s">
        <v>30</v>
      </c>
      <c r="M97" t="s">
        <v>34</v>
      </c>
      <c r="N97" t="s">
        <v>265</v>
      </c>
      <c r="O97" t="s">
        <v>19</v>
      </c>
      <c r="P97">
        <v>12.17</v>
      </c>
      <c r="Q97">
        <v>6.66</v>
      </c>
    </row>
    <row r="98" spans="1:17" x14ac:dyDescent="0.25">
      <c r="A98" t="s">
        <v>120</v>
      </c>
      <c r="B98" s="1">
        <v>45043</v>
      </c>
      <c r="C98" t="s">
        <v>258</v>
      </c>
      <c r="D98">
        <v>2023</v>
      </c>
      <c r="E98" t="s">
        <v>67</v>
      </c>
      <c r="F98" t="s">
        <v>50</v>
      </c>
      <c r="G98" t="s">
        <v>23</v>
      </c>
      <c r="H98">
        <v>12</v>
      </c>
      <c r="I98">
        <v>40512888</v>
      </c>
      <c r="J98">
        <v>0</v>
      </c>
      <c r="K98">
        <v>40512888</v>
      </c>
      <c r="L98" t="s">
        <v>24</v>
      </c>
      <c r="M98" t="s">
        <v>25</v>
      </c>
      <c r="N98" t="s">
        <v>267</v>
      </c>
      <c r="O98" t="s">
        <v>39</v>
      </c>
      <c r="P98">
        <v>6.52</v>
      </c>
      <c r="Q98">
        <v>3.37</v>
      </c>
    </row>
    <row r="99" spans="1:17" x14ac:dyDescent="0.25">
      <c r="A99" t="s">
        <v>128</v>
      </c>
      <c r="B99" s="1">
        <v>45342</v>
      </c>
      <c r="C99" t="s">
        <v>255</v>
      </c>
      <c r="D99">
        <v>2024</v>
      </c>
      <c r="E99" t="s">
        <v>49</v>
      </c>
      <c r="F99" t="s">
        <v>50</v>
      </c>
      <c r="G99" t="s">
        <v>42</v>
      </c>
      <c r="H99">
        <v>15</v>
      </c>
      <c r="I99">
        <v>15299847</v>
      </c>
      <c r="J99">
        <v>0</v>
      </c>
      <c r="K99">
        <v>15299847</v>
      </c>
      <c r="L99" t="s">
        <v>30</v>
      </c>
      <c r="M99" t="s">
        <v>18</v>
      </c>
      <c r="N99" t="s">
        <v>265</v>
      </c>
      <c r="O99" t="s">
        <v>39</v>
      </c>
      <c r="P99">
        <v>7.38</v>
      </c>
      <c r="Q99">
        <v>3.93</v>
      </c>
    </row>
    <row r="100" spans="1:17" x14ac:dyDescent="0.25">
      <c r="A100" t="s">
        <v>129</v>
      </c>
      <c r="B100" s="1">
        <v>45221</v>
      </c>
      <c r="C100" t="s">
        <v>251</v>
      </c>
      <c r="D100">
        <v>2023</v>
      </c>
      <c r="E100" t="s">
        <v>49</v>
      </c>
      <c r="F100" t="s">
        <v>50</v>
      </c>
      <c r="G100" t="s">
        <v>16</v>
      </c>
      <c r="H100">
        <v>2</v>
      </c>
      <c r="I100">
        <v>25737036</v>
      </c>
      <c r="J100">
        <v>0</v>
      </c>
      <c r="K100">
        <v>25737036</v>
      </c>
      <c r="L100" t="s">
        <v>69</v>
      </c>
      <c r="M100" t="s">
        <v>34</v>
      </c>
      <c r="N100" t="s">
        <v>265</v>
      </c>
      <c r="O100" t="s">
        <v>39</v>
      </c>
      <c r="P100">
        <v>7.38</v>
      </c>
      <c r="Q100">
        <v>3.93</v>
      </c>
    </row>
    <row r="101" spans="1:17" x14ac:dyDescent="0.25">
      <c r="A101" t="s">
        <v>130</v>
      </c>
      <c r="B101" s="1">
        <v>45176</v>
      </c>
      <c r="C101" t="s">
        <v>257</v>
      </c>
      <c r="D101">
        <v>2023</v>
      </c>
      <c r="E101" t="s">
        <v>61</v>
      </c>
      <c r="F101" t="s">
        <v>28</v>
      </c>
      <c r="G101" t="s">
        <v>16</v>
      </c>
      <c r="H101">
        <v>21</v>
      </c>
      <c r="I101">
        <v>62106266</v>
      </c>
      <c r="J101">
        <v>0</v>
      </c>
      <c r="K101">
        <v>62106266</v>
      </c>
      <c r="L101" t="s">
        <v>69</v>
      </c>
      <c r="M101" t="s">
        <v>31</v>
      </c>
      <c r="N101" t="s">
        <v>265</v>
      </c>
      <c r="O101" t="s">
        <v>19</v>
      </c>
      <c r="P101">
        <v>9.07</v>
      </c>
      <c r="Q101">
        <v>7.49</v>
      </c>
    </row>
    <row r="102" spans="1:17" x14ac:dyDescent="0.25">
      <c r="A102" t="s">
        <v>131</v>
      </c>
      <c r="B102" s="1">
        <v>45296</v>
      </c>
      <c r="C102" t="s">
        <v>253</v>
      </c>
      <c r="D102">
        <v>2024</v>
      </c>
      <c r="E102" t="s">
        <v>54</v>
      </c>
      <c r="F102" t="s">
        <v>55</v>
      </c>
      <c r="G102" t="s">
        <v>16</v>
      </c>
      <c r="H102">
        <v>37</v>
      </c>
      <c r="I102">
        <v>139769413</v>
      </c>
      <c r="J102">
        <v>0</v>
      </c>
      <c r="K102">
        <v>139769413</v>
      </c>
      <c r="L102" t="s">
        <v>17</v>
      </c>
      <c r="M102" t="s">
        <v>25</v>
      </c>
      <c r="N102" t="s">
        <v>266</v>
      </c>
      <c r="O102" t="s">
        <v>39</v>
      </c>
      <c r="P102">
        <v>11.83</v>
      </c>
      <c r="Q102">
        <v>13.15</v>
      </c>
    </row>
    <row r="103" spans="1:17" x14ac:dyDescent="0.25">
      <c r="A103" t="s">
        <v>133</v>
      </c>
      <c r="B103" s="1">
        <v>45187</v>
      </c>
      <c r="C103" t="s">
        <v>257</v>
      </c>
      <c r="D103">
        <v>2023</v>
      </c>
      <c r="E103" t="s">
        <v>27</v>
      </c>
      <c r="F103" t="s">
        <v>28</v>
      </c>
      <c r="G103" t="s">
        <v>56</v>
      </c>
      <c r="H103">
        <v>10</v>
      </c>
      <c r="I103">
        <v>117913959</v>
      </c>
      <c r="J103">
        <v>0</v>
      </c>
      <c r="K103">
        <v>117913959</v>
      </c>
      <c r="L103" t="s">
        <v>30</v>
      </c>
      <c r="M103" t="s">
        <v>34</v>
      </c>
      <c r="N103" t="s">
        <v>265</v>
      </c>
      <c r="O103" t="s">
        <v>19</v>
      </c>
      <c r="P103">
        <v>7.73</v>
      </c>
      <c r="Q103">
        <v>8.5399999999999991</v>
      </c>
    </row>
    <row r="104" spans="1:17" x14ac:dyDescent="0.25">
      <c r="A104" t="s">
        <v>134</v>
      </c>
      <c r="B104" s="1">
        <v>45280</v>
      </c>
      <c r="C104" t="s">
        <v>262</v>
      </c>
      <c r="D104">
        <v>2023</v>
      </c>
      <c r="E104" t="s">
        <v>67</v>
      </c>
      <c r="F104" t="s">
        <v>50</v>
      </c>
      <c r="G104" t="s">
        <v>29</v>
      </c>
      <c r="H104">
        <v>5</v>
      </c>
      <c r="I104">
        <v>74367148</v>
      </c>
      <c r="J104">
        <v>0</v>
      </c>
      <c r="K104">
        <v>74367148</v>
      </c>
      <c r="L104" t="s">
        <v>69</v>
      </c>
      <c r="M104" t="s">
        <v>34</v>
      </c>
      <c r="N104" t="s">
        <v>265</v>
      </c>
      <c r="O104" t="s">
        <v>39</v>
      </c>
      <c r="P104">
        <v>6.52</v>
      </c>
      <c r="Q104">
        <v>3.37</v>
      </c>
    </row>
    <row r="105" spans="1:17" x14ac:dyDescent="0.25">
      <c r="A105" t="s">
        <v>136</v>
      </c>
      <c r="B105" s="1">
        <v>45334</v>
      </c>
      <c r="C105" t="s">
        <v>255</v>
      </c>
      <c r="D105">
        <v>2024</v>
      </c>
      <c r="E105" t="s">
        <v>36</v>
      </c>
      <c r="F105" t="s">
        <v>37</v>
      </c>
      <c r="G105" t="s">
        <v>23</v>
      </c>
      <c r="H105">
        <v>25</v>
      </c>
      <c r="I105">
        <v>67285582</v>
      </c>
      <c r="J105">
        <v>0</v>
      </c>
      <c r="K105">
        <v>67285582</v>
      </c>
      <c r="L105" t="s">
        <v>24</v>
      </c>
      <c r="M105" t="s">
        <v>18</v>
      </c>
      <c r="N105" t="s">
        <v>267</v>
      </c>
      <c r="O105" t="s">
        <v>39</v>
      </c>
      <c r="P105">
        <v>10.52</v>
      </c>
      <c r="Q105">
        <v>7.44</v>
      </c>
    </row>
    <row r="106" spans="1:17" x14ac:dyDescent="0.25">
      <c r="A106" t="s">
        <v>138</v>
      </c>
      <c r="B106" s="1">
        <v>45245</v>
      </c>
      <c r="C106" t="s">
        <v>260</v>
      </c>
      <c r="D106">
        <v>2023</v>
      </c>
      <c r="E106" t="s">
        <v>52</v>
      </c>
      <c r="F106" t="s">
        <v>37</v>
      </c>
      <c r="G106" t="s">
        <v>29</v>
      </c>
      <c r="H106">
        <v>29</v>
      </c>
      <c r="I106">
        <v>144267164</v>
      </c>
      <c r="J106">
        <v>0</v>
      </c>
      <c r="K106">
        <v>144267164</v>
      </c>
      <c r="L106" t="s">
        <v>30</v>
      </c>
      <c r="M106" t="s">
        <v>34</v>
      </c>
      <c r="N106" t="s">
        <v>265</v>
      </c>
      <c r="O106" t="s">
        <v>39</v>
      </c>
      <c r="P106">
        <v>12</v>
      </c>
      <c r="Q106">
        <v>8.52</v>
      </c>
    </row>
    <row r="107" spans="1:17" x14ac:dyDescent="0.25">
      <c r="A107" t="s">
        <v>141</v>
      </c>
      <c r="B107" s="1">
        <v>45345</v>
      </c>
      <c r="C107" t="s">
        <v>255</v>
      </c>
      <c r="D107">
        <v>2024</v>
      </c>
      <c r="E107" t="s">
        <v>33</v>
      </c>
      <c r="F107" t="s">
        <v>22</v>
      </c>
      <c r="G107" t="s">
        <v>23</v>
      </c>
      <c r="H107">
        <v>13</v>
      </c>
      <c r="I107">
        <v>58701544</v>
      </c>
      <c r="J107">
        <v>0</v>
      </c>
      <c r="K107">
        <v>58701544</v>
      </c>
      <c r="L107" t="s">
        <v>30</v>
      </c>
      <c r="M107" t="s">
        <v>31</v>
      </c>
      <c r="N107" t="s">
        <v>265</v>
      </c>
      <c r="O107" t="s">
        <v>39</v>
      </c>
      <c r="P107">
        <v>4.75</v>
      </c>
      <c r="Q107">
        <v>7.01</v>
      </c>
    </row>
    <row r="108" spans="1:17" x14ac:dyDescent="0.25">
      <c r="A108" t="s">
        <v>142</v>
      </c>
      <c r="B108" s="1">
        <v>45074</v>
      </c>
      <c r="C108" t="s">
        <v>259</v>
      </c>
      <c r="D108">
        <v>2023</v>
      </c>
      <c r="E108" t="s">
        <v>36</v>
      </c>
      <c r="F108" t="s">
        <v>37</v>
      </c>
      <c r="G108" t="s">
        <v>16</v>
      </c>
      <c r="H108">
        <v>8</v>
      </c>
      <c r="I108">
        <v>21908344</v>
      </c>
      <c r="J108">
        <v>0</v>
      </c>
      <c r="K108">
        <v>21908344</v>
      </c>
      <c r="L108" t="s">
        <v>24</v>
      </c>
      <c r="M108" t="s">
        <v>18</v>
      </c>
      <c r="N108" t="s">
        <v>267</v>
      </c>
      <c r="O108" t="s">
        <v>39</v>
      </c>
      <c r="P108">
        <v>10.52</v>
      </c>
      <c r="Q108">
        <v>7.44</v>
      </c>
    </row>
    <row r="109" spans="1:17" x14ac:dyDescent="0.25">
      <c r="A109" t="s">
        <v>144</v>
      </c>
      <c r="B109" s="1">
        <v>45052</v>
      </c>
      <c r="C109" t="s">
        <v>259</v>
      </c>
      <c r="D109">
        <v>2023</v>
      </c>
      <c r="E109" t="s">
        <v>52</v>
      </c>
      <c r="F109" t="s">
        <v>37</v>
      </c>
      <c r="G109" t="s">
        <v>23</v>
      </c>
      <c r="H109">
        <v>35</v>
      </c>
      <c r="I109">
        <v>48810656</v>
      </c>
      <c r="J109">
        <v>0</v>
      </c>
      <c r="K109">
        <v>48810656</v>
      </c>
      <c r="L109" t="s">
        <v>24</v>
      </c>
      <c r="M109" t="s">
        <v>25</v>
      </c>
      <c r="N109" t="s">
        <v>267</v>
      </c>
      <c r="O109" t="s">
        <v>19</v>
      </c>
      <c r="P109">
        <v>12</v>
      </c>
      <c r="Q109">
        <v>8.52</v>
      </c>
    </row>
    <row r="110" spans="1:17" x14ac:dyDescent="0.25">
      <c r="A110" t="s">
        <v>146</v>
      </c>
      <c r="B110" s="1">
        <v>45284</v>
      </c>
      <c r="C110" t="s">
        <v>262</v>
      </c>
      <c r="D110">
        <v>2023</v>
      </c>
      <c r="E110" t="s">
        <v>54</v>
      </c>
      <c r="F110" t="s">
        <v>55</v>
      </c>
      <c r="G110" t="s">
        <v>38</v>
      </c>
      <c r="H110">
        <v>20</v>
      </c>
      <c r="I110">
        <v>120865066</v>
      </c>
      <c r="J110">
        <v>0</v>
      </c>
      <c r="K110">
        <v>120865066</v>
      </c>
      <c r="L110" t="s">
        <v>17</v>
      </c>
      <c r="M110" t="s">
        <v>34</v>
      </c>
      <c r="N110" t="s">
        <v>266</v>
      </c>
      <c r="O110" t="s">
        <v>39</v>
      </c>
      <c r="P110">
        <v>11.83</v>
      </c>
      <c r="Q110">
        <v>13.15</v>
      </c>
    </row>
    <row r="111" spans="1:17" x14ac:dyDescent="0.25">
      <c r="A111" t="s">
        <v>148</v>
      </c>
      <c r="B111" s="1">
        <v>45107</v>
      </c>
      <c r="C111" t="s">
        <v>252</v>
      </c>
      <c r="D111">
        <v>2023</v>
      </c>
      <c r="E111" t="s">
        <v>36</v>
      </c>
      <c r="F111" t="s">
        <v>37</v>
      </c>
      <c r="G111" t="s">
        <v>23</v>
      </c>
      <c r="H111">
        <v>22</v>
      </c>
      <c r="I111">
        <v>62432721</v>
      </c>
      <c r="J111">
        <v>0</v>
      </c>
      <c r="K111">
        <v>62432721</v>
      </c>
      <c r="L111" t="s">
        <v>69</v>
      </c>
      <c r="M111" t="s">
        <v>34</v>
      </c>
      <c r="N111" t="s">
        <v>265</v>
      </c>
      <c r="O111" t="s">
        <v>39</v>
      </c>
      <c r="P111">
        <v>10.52</v>
      </c>
      <c r="Q111">
        <v>7.44</v>
      </c>
    </row>
    <row r="112" spans="1:17" x14ac:dyDescent="0.25">
      <c r="A112" t="s">
        <v>154</v>
      </c>
      <c r="B112" s="1">
        <v>45293</v>
      </c>
      <c r="C112" t="s">
        <v>253</v>
      </c>
      <c r="D112">
        <v>2024</v>
      </c>
      <c r="E112" t="s">
        <v>36</v>
      </c>
      <c r="F112" t="s">
        <v>37</v>
      </c>
      <c r="G112" t="s">
        <v>47</v>
      </c>
      <c r="H112">
        <v>17</v>
      </c>
      <c r="I112">
        <v>110020654</v>
      </c>
      <c r="J112">
        <v>0</v>
      </c>
      <c r="K112">
        <v>110020654</v>
      </c>
      <c r="L112" t="s">
        <v>17</v>
      </c>
      <c r="M112" t="s">
        <v>18</v>
      </c>
      <c r="N112" t="s">
        <v>266</v>
      </c>
      <c r="O112" t="s">
        <v>39</v>
      </c>
      <c r="P112">
        <v>10.52</v>
      </c>
      <c r="Q112">
        <v>7.44</v>
      </c>
    </row>
    <row r="113" spans="1:17" x14ac:dyDescent="0.25">
      <c r="A113" t="s">
        <v>156</v>
      </c>
      <c r="B113" s="1">
        <v>44975</v>
      </c>
      <c r="C113" t="s">
        <v>255</v>
      </c>
      <c r="D113">
        <v>2023</v>
      </c>
      <c r="E113" t="s">
        <v>49</v>
      </c>
      <c r="F113" t="s">
        <v>50</v>
      </c>
      <c r="G113" t="s">
        <v>47</v>
      </c>
      <c r="H113">
        <v>15</v>
      </c>
      <c r="I113">
        <v>8433053</v>
      </c>
      <c r="J113">
        <v>0</v>
      </c>
      <c r="K113">
        <v>8433053</v>
      </c>
      <c r="L113" t="s">
        <v>30</v>
      </c>
      <c r="M113" t="s">
        <v>18</v>
      </c>
      <c r="N113" t="s">
        <v>265</v>
      </c>
      <c r="O113" t="s">
        <v>39</v>
      </c>
      <c r="P113">
        <v>7.38</v>
      </c>
      <c r="Q113">
        <v>3.93</v>
      </c>
    </row>
    <row r="114" spans="1:17" x14ac:dyDescent="0.25">
      <c r="A114" t="s">
        <v>157</v>
      </c>
      <c r="B114" s="1">
        <v>45018</v>
      </c>
      <c r="C114" t="s">
        <v>258</v>
      </c>
      <c r="D114">
        <v>2023</v>
      </c>
      <c r="E114" t="s">
        <v>36</v>
      </c>
      <c r="F114" t="s">
        <v>37</v>
      </c>
      <c r="G114" t="s">
        <v>42</v>
      </c>
      <c r="H114">
        <v>28</v>
      </c>
      <c r="I114">
        <v>63792800</v>
      </c>
      <c r="J114">
        <v>0</v>
      </c>
      <c r="K114">
        <v>63792800</v>
      </c>
      <c r="L114" t="s">
        <v>69</v>
      </c>
      <c r="M114" t="s">
        <v>25</v>
      </c>
      <c r="N114" t="s">
        <v>265</v>
      </c>
      <c r="O114" t="s">
        <v>39</v>
      </c>
      <c r="P114">
        <v>10.52</v>
      </c>
      <c r="Q114">
        <v>7.44</v>
      </c>
    </row>
    <row r="115" spans="1:17" x14ac:dyDescent="0.25">
      <c r="A115" t="s">
        <v>166</v>
      </c>
      <c r="B115" s="1">
        <v>45131</v>
      </c>
      <c r="C115" t="s">
        <v>261</v>
      </c>
      <c r="D115">
        <v>2023</v>
      </c>
      <c r="E115" t="s">
        <v>36</v>
      </c>
      <c r="F115" t="s">
        <v>37</v>
      </c>
      <c r="G115" t="s">
        <v>16</v>
      </c>
      <c r="H115">
        <v>33</v>
      </c>
      <c r="I115">
        <v>20289536</v>
      </c>
      <c r="J115">
        <v>0</v>
      </c>
      <c r="K115">
        <v>20289536</v>
      </c>
      <c r="L115" t="s">
        <v>24</v>
      </c>
      <c r="M115" t="s">
        <v>25</v>
      </c>
      <c r="N115" t="s">
        <v>267</v>
      </c>
      <c r="O115" t="s">
        <v>19</v>
      </c>
      <c r="P115">
        <v>10.52</v>
      </c>
      <c r="Q115">
        <v>7.44</v>
      </c>
    </row>
    <row r="116" spans="1:17" x14ac:dyDescent="0.25">
      <c r="A116" t="s">
        <v>167</v>
      </c>
      <c r="B116" s="1">
        <v>45051</v>
      </c>
      <c r="C116" t="s">
        <v>259</v>
      </c>
      <c r="D116">
        <v>2023</v>
      </c>
      <c r="E116" t="s">
        <v>49</v>
      </c>
      <c r="F116" t="s">
        <v>50</v>
      </c>
      <c r="G116" t="s">
        <v>42</v>
      </c>
      <c r="H116">
        <v>9</v>
      </c>
      <c r="I116">
        <v>45989170</v>
      </c>
      <c r="J116">
        <v>0</v>
      </c>
      <c r="K116">
        <v>45989170</v>
      </c>
      <c r="L116" t="s">
        <v>17</v>
      </c>
      <c r="M116" t="s">
        <v>25</v>
      </c>
      <c r="N116" t="s">
        <v>266</v>
      </c>
      <c r="O116" t="s">
        <v>39</v>
      </c>
      <c r="P116">
        <v>7.38</v>
      </c>
      <c r="Q116">
        <v>3.93</v>
      </c>
    </row>
    <row r="117" spans="1:17" x14ac:dyDescent="0.25">
      <c r="A117" t="s">
        <v>169</v>
      </c>
      <c r="B117" s="1">
        <v>44944</v>
      </c>
      <c r="C117" t="s">
        <v>253</v>
      </c>
      <c r="D117">
        <v>2023</v>
      </c>
      <c r="E117" t="s">
        <v>36</v>
      </c>
      <c r="F117" t="s">
        <v>37</v>
      </c>
      <c r="G117" t="s">
        <v>23</v>
      </c>
      <c r="H117">
        <v>19</v>
      </c>
      <c r="I117">
        <v>32858196</v>
      </c>
      <c r="J117">
        <v>0</v>
      </c>
      <c r="K117">
        <v>32858196</v>
      </c>
      <c r="L117" t="s">
        <v>69</v>
      </c>
      <c r="M117" t="s">
        <v>31</v>
      </c>
      <c r="N117" t="s">
        <v>265</v>
      </c>
      <c r="O117" t="s">
        <v>19</v>
      </c>
      <c r="P117">
        <v>10.52</v>
      </c>
      <c r="Q117">
        <v>7.44</v>
      </c>
    </row>
    <row r="118" spans="1:17" x14ac:dyDescent="0.25">
      <c r="A118" t="s">
        <v>172</v>
      </c>
      <c r="B118" s="1">
        <v>45246</v>
      </c>
      <c r="C118" t="s">
        <v>260</v>
      </c>
      <c r="D118">
        <v>2023</v>
      </c>
      <c r="E118" t="s">
        <v>49</v>
      </c>
      <c r="F118" t="s">
        <v>50</v>
      </c>
      <c r="G118" t="s">
        <v>29</v>
      </c>
      <c r="H118">
        <v>4</v>
      </c>
      <c r="I118">
        <v>56211871</v>
      </c>
      <c r="J118">
        <v>0</v>
      </c>
      <c r="K118">
        <v>56211871</v>
      </c>
      <c r="L118" t="s">
        <v>24</v>
      </c>
      <c r="M118" t="s">
        <v>25</v>
      </c>
      <c r="N118" t="s">
        <v>267</v>
      </c>
      <c r="O118" t="s">
        <v>19</v>
      </c>
      <c r="P118">
        <v>7.38</v>
      </c>
      <c r="Q118">
        <v>3.93</v>
      </c>
    </row>
    <row r="119" spans="1:17" x14ac:dyDescent="0.25">
      <c r="A119" t="s">
        <v>175</v>
      </c>
      <c r="B119" s="1">
        <v>45049</v>
      </c>
      <c r="C119" t="s">
        <v>259</v>
      </c>
      <c r="D119">
        <v>2023</v>
      </c>
      <c r="E119" t="s">
        <v>36</v>
      </c>
      <c r="F119" t="s">
        <v>37</v>
      </c>
      <c r="G119" t="s">
        <v>23</v>
      </c>
      <c r="H119">
        <v>5</v>
      </c>
      <c r="I119">
        <v>110082112</v>
      </c>
      <c r="J119">
        <v>0</v>
      </c>
      <c r="K119">
        <v>110082112</v>
      </c>
      <c r="L119" t="s">
        <v>24</v>
      </c>
      <c r="M119" t="s">
        <v>31</v>
      </c>
      <c r="N119" t="s">
        <v>267</v>
      </c>
      <c r="O119" t="s">
        <v>19</v>
      </c>
      <c r="P119">
        <v>10.52</v>
      </c>
      <c r="Q119">
        <v>7.44</v>
      </c>
    </row>
    <row r="120" spans="1:17" x14ac:dyDescent="0.25">
      <c r="A120" t="s">
        <v>178</v>
      </c>
      <c r="B120" s="1">
        <v>45200</v>
      </c>
      <c r="C120" t="s">
        <v>251</v>
      </c>
      <c r="D120">
        <v>2023</v>
      </c>
      <c r="E120" t="s">
        <v>65</v>
      </c>
      <c r="F120" t="s">
        <v>37</v>
      </c>
      <c r="G120" t="s">
        <v>47</v>
      </c>
      <c r="H120">
        <v>8</v>
      </c>
      <c r="I120">
        <v>70516565</v>
      </c>
      <c r="J120">
        <v>0</v>
      </c>
      <c r="K120">
        <v>70516565</v>
      </c>
      <c r="L120" t="s">
        <v>30</v>
      </c>
      <c r="M120" t="s">
        <v>25</v>
      </c>
      <c r="N120" t="s">
        <v>265</v>
      </c>
      <c r="O120" t="s">
        <v>39</v>
      </c>
      <c r="P120">
        <v>12.17</v>
      </c>
      <c r="Q120">
        <v>6.66</v>
      </c>
    </row>
    <row r="121" spans="1:17" x14ac:dyDescent="0.25">
      <c r="A121" t="s">
        <v>181</v>
      </c>
      <c r="B121" s="1">
        <v>45270</v>
      </c>
      <c r="C121" t="s">
        <v>262</v>
      </c>
      <c r="D121">
        <v>2023</v>
      </c>
      <c r="E121" t="s">
        <v>21</v>
      </c>
      <c r="F121" t="s">
        <v>22</v>
      </c>
      <c r="G121" t="s">
        <v>56</v>
      </c>
      <c r="H121">
        <v>10</v>
      </c>
      <c r="I121">
        <v>97391317</v>
      </c>
      <c r="J121">
        <v>0</v>
      </c>
      <c r="K121">
        <v>97391317</v>
      </c>
      <c r="L121" t="s">
        <v>30</v>
      </c>
      <c r="M121" t="s">
        <v>31</v>
      </c>
      <c r="N121" t="s">
        <v>265</v>
      </c>
      <c r="O121" t="s">
        <v>39</v>
      </c>
      <c r="P121">
        <v>5.7</v>
      </c>
      <c r="Q121">
        <v>5.9</v>
      </c>
    </row>
    <row r="122" spans="1:17" x14ac:dyDescent="0.25">
      <c r="A122" t="s">
        <v>182</v>
      </c>
      <c r="B122" s="1">
        <v>45334</v>
      </c>
      <c r="C122" t="s">
        <v>255</v>
      </c>
      <c r="D122">
        <v>2024</v>
      </c>
      <c r="E122" t="s">
        <v>27</v>
      </c>
      <c r="F122" t="s">
        <v>28</v>
      </c>
      <c r="G122" t="s">
        <v>29</v>
      </c>
      <c r="H122">
        <v>27</v>
      </c>
      <c r="I122">
        <v>124113375</v>
      </c>
      <c r="J122">
        <v>0</v>
      </c>
      <c r="K122">
        <v>124113375</v>
      </c>
      <c r="L122" t="s">
        <v>24</v>
      </c>
      <c r="M122" t="s">
        <v>31</v>
      </c>
      <c r="N122" t="s">
        <v>267</v>
      </c>
      <c r="O122" t="s">
        <v>19</v>
      </c>
      <c r="P122">
        <v>7.73</v>
      </c>
      <c r="Q122">
        <v>8.5399999999999991</v>
      </c>
    </row>
    <row r="123" spans="1:17" x14ac:dyDescent="0.25">
      <c r="A123" t="s">
        <v>186</v>
      </c>
      <c r="B123" s="1">
        <v>45247</v>
      </c>
      <c r="C123" t="s">
        <v>260</v>
      </c>
      <c r="D123">
        <v>2023</v>
      </c>
      <c r="E123" t="s">
        <v>54</v>
      </c>
      <c r="F123" t="s">
        <v>55</v>
      </c>
      <c r="G123" t="s">
        <v>29</v>
      </c>
      <c r="H123">
        <v>15</v>
      </c>
      <c r="I123">
        <v>19511737</v>
      </c>
      <c r="J123">
        <v>0</v>
      </c>
      <c r="K123">
        <v>19511737</v>
      </c>
      <c r="L123" t="s">
        <v>69</v>
      </c>
      <c r="M123" t="s">
        <v>25</v>
      </c>
      <c r="N123" t="s">
        <v>265</v>
      </c>
      <c r="O123" t="s">
        <v>39</v>
      </c>
      <c r="P123">
        <v>11.83</v>
      </c>
      <c r="Q123">
        <v>13.15</v>
      </c>
    </row>
    <row r="124" spans="1:17" x14ac:dyDescent="0.25">
      <c r="A124" t="s">
        <v>191</v>
      </c>
      <c r="B124" s="1">
        <v>45262</v>
      </c>
      <c r="C124" t="s">
        <v>262</v>
      </c>
      <c r="D124">
        <v>2023</v>
      </c>
      <c r="E124" t="s">
        <v>54</v>
      </c>
      <c r="F124" t="s">
        <v>55</v>
      </c>
      <c r="G124" t="s">
        <v>38</v>
      </c>
      <c r="H124">
        <v>9</v>
      </c>
      <c r="I124">
        <v>29840029</v>
      </c>
      <c r="J124">
        <v>0</v>
      </c>
      <c r="K124">
        <v>29840029</v>
      </c>
      <c r="L124" t="s">
        <v>24</v>
      </c>
      <c r="M124" t="s">
        <v>18</v>
      </c>
      <c r="N124" t="s">
        <v>267</v>
      </c>
      <c r="O124" t="s">
        <v>39</v>
      </c>
      <c r="P124">
        <v>11.83</v>
      </c>
      <c r="Q124">
        <v>13.15</v>
      </c>
    </row>
    <row r="125" spans="1:17" x14ac:dyDescent="0.25">
      <c r="A125" t="s">
        <v>192</v>
      </c>
      <c r="B125" s="1">
        <v>45125</v>
      </c>
      <c r="C125" t="s">
        <v>261</v>
      </c>
      <c r="D125">
        <v>2023</v>
      </c>
      <c r="E125" t="s">
        <v>52</v>
      </c>
      <c r="F125" t="s">
        <v>37</v>
      </c>
      <c r="G125" t="s">
        <v>16</v>
      </c>
      <c r="H125">
        <v>4</v>
      </c>
      <c r="I125">
        <v>109926171</v>
      </c>
      <c r="J125">
        <v>0</v>
      </c>
      <c r="K125">
        <v>109926171</v>
      </c>
      <c r="L125" t="s">
        <v>30</v>
      </c>
      <c r="M125" t="s">
        <v>31</v>
      </c>
      <c r="N125" t="s">
        <v>265</v>
      </c>
      <c r="O125" t="s">
        <v>19</v>
      </c>
      <c r="P125">
        <v>12</v>
      </c>
      <c r="Q125">
        <v>8.52</v>
      </c>
    </row>
    <row r="126" spans="1:17" x14ac:dyDescent="0.25">
      <c r="A126" t="s">
        <v>198</v>
      </c>
      <c r="B126" s="1">
        <v>45115</v>
      </c>
      <c r="C126" t="s">
        <v>261</v>
      </c>
      <c r="D126">
        <v>2023</v>
      </c>
      <c r="E126" t="s">
        <v>14</v>
      </c>
      <c r="F126" t="s">
        <v>15</v>
      </c>
      <c r="G126" t="s">
        <v>16</v>
      </c>
      <c r="H126">
        <v>11</v>
      </c>
      <c r="I126">
        <v>127238751</v>
      </c>
      <c r="J126">
        <v>0</v>
      </c>
      <c r="K126">
        <v>127238751</v>
      </c>
      <c r="L126" t="s">
        <v>24</v>
      </c>
      <c r="M126" t="s">
        <v>34</v>
      </c>
      <c r="N126" t="s">
        <v>267</v>
      </c>
      <c r="O126" t="s">
        <v>39</v>
      </c>
      <c r="P126">
        <v>6.21</v>
      </c>
      <c r="Q126">
        <v>7.07</v>
      </c>
    </row>
    <row r="127" spans="1:17" x14ac:dyDescent="0.25">
      <c r="A127" t="s">
        <v>201</v>
      </c>
      <c r="B127" s="1">
        <v>45274</v>
      </c>
      <c r="C127" t="s">
        <v>262</v>
      </c>
      <c r="D127">
        <v>2023</v>
      </c>
      <c r="E127" t="s">
        <v>36</v>
      </c>
      <c r="F127" t="s">
        <v>37</v>
      </c>
      <c r="G127" t="s">
        <v>29</v>
      </c>
      <c r="H127">
        <v>23</v>
      </c>
      <c r="I127">
        <v>130909567</v>
      </c>
      <c r="J127">
        <v>0</v>
      </c>
      <c r="K127">
        <v>130909567</v>
      </c>
      <c r="L127" t="s">
        <v>69</v>
      </c>
      <c r="M127" t="s">
        <v>18</v>
      </c>
      <c r="N127" t="s">
        <v>265</v>
      </c>
      <c r="O127" t="s">
        <v>39</v>
      </c>
      <c r="P127">
        <v>10.52</v>
      </c>
      <c r="Q127">
        <v>7.44</v>
      </c>
    </row>
    <row r="128" spans="1:17" x14ac:dyDescent="0.25">
      <c r="A128" t="s">
        <v>202</v>
      </c>
      <c r="B128" s="1">
        <v>45113</v>
      </c>
      <c r="C128" t="s">
        <v>261</v>
      </c>
      <c r="D128">
        <v>2023</v>
      </c>
      <c r="E128" t="s">
        <v>33</v>
      </c>
      <c r="F128" t="s">
        <v>22</v>
      </c>
      <c r="G128" t="s">
        <v>42</v>
      </c>
      <c r="H128">
        <v>33</v>
      </c>
      <c r="I128">
        <v>44851880</v>
      </c>
      <c r="J128">
        <v>0</v>
      </c>
      <c r="K128">
        <v>44851880</v>
      </c>
      <c r="L128" t="s">
        <v>69</v>
      </c>
      <c r="M128" t="s">
        <v>34</v>
      </c>
      <c r="N128" t="s">
        <v>265</v>
      </c>
      <c r="O128" t="s">
        <v>19</v>
      </c>
      <c r="P128">
        <v>4.75</v>
      </c>
      <c r="Q128">
        <v>7.01</v>
      </c>
    </row>
    <row r="129" spans="1:17" x14ac:dyDescent="0.25">
      <c r="A129" t="s">
        <v>204</v>
      </c>
      <c r="B129" s="1">
        <v>45147</v>
      </c>
      <c r="C129" t="s">
        <v>254</v>
      </c>
      <c r="D129">
        <v>2023</v>
      </c>
      <c r="E129" t="s">
        <v>65</v>
      </c>
      <c r="F129" t="s">
        <v>37</v>
      </c>
      <c r="G129" t="s">
        <v>23</v>
      </c>
      <c r="H129">
        <v>31</v>
      </c>
      <c r="I129">
        <v>120324844</v>
      </c>
      <c r="J129">
        <v>0</v>
      </c>
      <c r="K129">
        <v>120324844</v>
      </c>
      <c r="L129" t="s">
        <v>24</v>
      </c>
      <c r="M129" t="s">
        <v>34</v>
      </c>
      <c r="N129" t="s">
        <v>267</v>
      </c>
      <c r="O129" t="s">
        <v>19</v>
      </c>
      <c r="P129">
        <v>12.17</v>
      </c>
      <c r="Q129">
        <v>6.66</v>
      </c>
    </row>
    <row r="130" spans="1:17" x14ac:dyDescent="0.25">
      <c r="A130" t="s">
        <v>205</v>
      </c>
      <c r="B130" s="1">
        <v>45329</v>
      </c>
      <c r="C130" t="s">
        <v>255</v>
      </c>
      <c r="D130">
        <v>2024</v>
      </c>
      <c r="E130" t="s">
        <v>49</v>
      </c>
      <c r="F130" t="s">
        <v>50</v>
      </c>
      <c r="G130" t="s">
        <v>47</v>
      </c>
      <c r="H130">
        <v>10</v>
      </c>
      <c r="I130">
        <v>76795835</v>
      </c>
      <c r="J130">
        <v>0</v>
      </c>
      <c r="K130">
        <v>76795835</v>
      </c>
      <c r="L130" t="s">
        <v>24</v>
      </c>
      <c r="M130" t="s">
        <v>25</v>
      </c>
      <c r="N130" t="s">
        <v>267</v>
      </c>
      <c r="O130" t="s">
        <v>19</v>
      </c>
      <c r="P130">
        <v>7.38</v>
      </c>
      <c r="Q130">
        <v>3.93</v>
      </c>
    </row>
    <row r="131" spans="1:17" x14ac:dyDescent="0.25">
      <c r="A131" t="s">
        <v>206</v>
      </c>
      <c r="B131" s="1">
        <v>45090</v>
      </c>
      <c r="C131" t="s">
        <v>252</v>
      </c>
      <c r="D131">
        <v>2023</v>
      </c>
      <c r="E131" t="s">
        <v>36</v>
      </c>
      <c r="F131" t="s">
        <v>37</v>
      </c>
      <c r="G131" t="s">
        <v>23</v>
      </c>
      <c r="H131">
        <v>24</v>
      </c>
      <c r="I131">
        <v>80203486</v>
      </c>
      <c r="J131">
        <v>0</v>
      </c>
      <c r="K131">
        <v>80203486</v>
      </c>
      <c r="L131" t="s">
        <v>17</v>
      </c>
      <c r="M131" t="s">
        <v>25</v>
      </c>
      <c r="N131" t="s">
        <v>266</v>
      </c>
      <c r="O131" t="s">
        <v>19</v>
      </c>
      <c r="P131">
        <v>10.52</v>
      </c>
      <c r="Q131">
        <v>7.44</v>
      </c>
    </row>
    <row r="132" spans="1:17" x14ac:dyDescent="0.25">
      <c r="A132" t="s">
        <v>207</v>
      </c>
      <c r="B132" s="1">
        <v>45406</v>
      </c>
      <c r="C132" t="s">
        <v>258</v>
      </c>
      <c r="D132">
        <v>2024</v>
      </c>
      <c r="E132" t="s">
        <v>58</v>
      </c>
      <c r="F132" t="s">
        <v>50</v>
      </c>
      <c r="G132" t="s">
        <v>16</v>
      </c>
      <c r="H132">
        <v>2</v>
      </c>
      <c r="I132">
        <v>65043174</v>
      </c>
      <c r="J132">
        <v>0</v>
      </c>
      <c r="K132">
        <v>65043174</v>
      </c>
      <c r="L132" t="s">
        <v>24</v>
      </c>
      <c r="M132" t="s">
        <v>18</v>
      </c>
      <c r="N132" t="s">
        <v>267</v>
      </c>
      <c r="O132" t="s">
        <v>39</v>
      </c>
      <c r="P132">
        <v>6.9</v>
      </c>
      <c r="Q132">
        <v>3.3</v>
      </c>
    </row>
    <row r="133" spans="1:17" x14ac:dyDescent="0.25">
      <c r="A133" t="s">
        <v>210</v>
      </c>
      <c r="B133" s="1">
        <v>44997</v>
      </c>
      <c r="C133" t="s">
        <v>256</v>
      </c>
      <c r="D133">
        <v>2023</v>
      </c>
      <c r="E133" t="s">
        <v>52</v>
      </c>
      <c r="F133" t="s">
        <v>37</v>
      </c>
      <c r="G133" t="s">
        <v>56</v>
      </c>
      <c r="H133">
        <v>1</v>
      </c>
      <c r="I133">
        <v>18781160</v>
      </c>
      <c r="J133">
        <v>0</v>
      </c>
      <c r="K133">
        <v>18781160</v>
      </c>
      <c r="L133" t="s">
        <v>30</v>
      </c>
      <c r="M133" t="s">
        <v>31</v>
      </c>
      <c r="N133" t="s">
        <v>265</v>
      </c>
      <c r="O133" t="s">
        <v>19</v>
      </c>
      <c r="P133">
        <v>12</v>
      </c>
      <c r="Q133">
        <v>8.52</v>
      </c>
    </row>
    <row r="134" spans="1:17" x14ac:dyDescent="0.25">
      <c r="A134" t="s">
        <v>211</v>
      </c>
      <c r="B134" s="1">
        <v>45242</v>
      </c>
      <c r="C134" t="s">
        <v>260</v>
      </c>
      <c r="D134">
        <v>2023</v>
      </c>
      <c r="E134" t="s">
        <v>44</v>
      </c>
      <c r="F134" t="s">
        <v>37</v>
      </c>
      <c r="G134" t="s">
        <v>42</v>
      </c>
      <c r="H134">
        <v>18</v>
      </c>
      <c r="I134">
        <v>82345183</v>
      </c>
      <c r="J134">
        <v>0</v>
      </c>
      <c r="K134">
        <v>82345183</v>
      </c>
      <c r="L134" t="s">
        <v>30</v>
      </c>
      <c r="M134" t="s">
        <v>31</v>
      </c>
      <c r="N134" t="s">
        <v>265</v>
      </c>
      <c r="O134" t="s">
        <v>19</v>
      </c>
      <c r="P134">
        <v>12.99</v>
      </c>
      <c r="Q134">
        <v>7.6</v>
      </c>
    </row>
    <row r="135" spans="1:17" x14ac:dyDescent="0.25">
      <c r="A135" t="s">
        <v>214</v>
      </c>
      <c r="B135" s="1">
        <v>45151</v>
      </c>
      <c r="C135" t="s">
        <v>254</v>
      </c>
      <c r="D135">
        <v>2023</v>
      </c>
      <c r="E135" t="s">
        <v>44</v>
      </c>
      <c r="F135" t="s">
        <v>37</v>
      </c>
      <c r="G135" t="s">
        <v>29</v>
      </c>
      <c r="H135">
        <v>20</v>
      </c>
      <c r="I135">
        <v>35249585</v>
      </c>
      <c r="J135">
        <v>0</v>
      </c>
      <c r="K135">
        <v>35249585</v>
      </c>
      <c r="L135" t="s">
        <v>24</v>
      </c>
      <c r="M135" t="s">
        <v>31</v>
      </c>
      <c r="N135" t="s">
        <v>267</v>
      </c>
      <c r="O135" t="s">
        <v>39</v>
      </c>
      <c r="P135">
        <v>12.99</v>
      </c>
      <c r="Q135">
        <v>7.6</v>
      </c>
    </row>
    <row r="136" spans="1:17" x14ac:dyDescent="0.25">
      <c r="A136" t="s">
        <v>220</v>
      </c>
      <c r="B136" s="1">
        <v>45143</v>
      </c>
      <c r="C136" t="s">
        <v>254</v>
      </c>
      <c r="D136">
        <v>2023</v>
      </c>
      <c r="E136" t="s">
        <v>21</v>
      </c>
      <c r="F136" t="s">
        <v>22</v>
      </c>
      <c r="G136" t="s">
        <v>16</v>
      </c>
      <c r="H136">
        <v>20</v>
      </c>
      <c r="I136">
        <v>70344331</v>
      </c>
      <c r="J136">
        <v>0</v>
      </c>
      <c r="K136">
        <v>70344331</v>
      </c>
      <c r="L136" t="s">
        <v>30</v>
      </c>
      <c r="M136" t="s">
        <v>25</v>
      </c>
      <c r="N136" t="s">
        <v>265</v>
      </c>
      <c r="O136" t="s">
        <v>39</v>
      </c>
      <c r="P136">
        <v>5.7</v>
      </c>
      <c r="Q136">
        <v>5.9</v>
      </c>
    </row>
    <row r="137" spans="1:17" x14ac:dyDescent="0.25">
      <c r="A137" t="s">
        <v>223</v>
      </c>
      <c r="B137" s="1">
        <v>44977</v>
      </c>
      <c r="C137" t="s">
        <v>255</v>
      </c>
      <c r="D137">
        <v>2023</v>
      </c>
      <c r="E137" t="s">
        <v>65</v>
      </c>
      <c r="F137" t="s">
        <v>37</v>
      </c>
      <c r="G137" t="s">
        <v>42</v>
      </c>
      <c r="H137">
        <v>29</v>
      </c>
      <c r="I137">
        <v>134627793</v>
      </c>
      <c r="J137">
        <v>0</v>
      </c>
      <c r="K137">
        <v>134627793</v>
      </c>
      <c r="L137" t="s">
        <v>30</v>
      </c>
      <c r="M137" t="s">
        <v>18</v>
      </c>
      <c r="N137" t="s">
        <v>265</v>
      </c>
      <c r="O137" t="s">
        <v>39</v>
      </c>
      <c r="P137">
        <v>12.17</v>
      </c>
      <c r="Q137">
        <v>6.66</v>
      </c>
    </row>
    <row r="138" spans="1:17" x14ac:dyDescent="0.25">
      <c r="A138" t="s">
        <v>224</v>
      </c>
      <c r="B138" s="1">
        <v>45173</v>
      </c>
      <c r="C138" t="s">
        <v>257</v>
      </c>
      <c r="D138">
        <v>2023</v>
      </c>
      <c r="E138" t="s">
        <v>65</v>
      </c>
      <c r="F138" t="s">
        <v>37</v>
      </c>
      <c r="G138" t="s">
        <v>47</v>
      </c>
      <c r="H138">
        <v>31</v>
      </c>
      <c r="I138">
        <v>73478224</v>
      </c>
      <c r="J138">
        <v>0</v>
      </c>
      <c r="K138">
        <v>73478224</v>
      </c>
      <c r="L138" t="s">
        <v>30</v>
      </c>
      <c r="M138" t="s">
        <v>31</v>
      </c>
      <c r="N138" t="s">
        <v>265</v>
      </c>
      <c r="O138" t="s">
        <v>19</v>
      </c>
      <c r="P138">
        <v>12.17</v>
      </c>
      <c r="Q138">
        <v>6.66</v>
      </c>
    </row>
    <row r="139" spans="1:17" x14ac:dyDescent="0.25">
      <c r="A139" t="s">
        <v>226</v>
      </c>
      <c r="B139" s="1">
        <v>45259</v>
      </c>
      <c r="C139" t="s">
        <v>260</v>
      </c>
      <c r="D139">
        <v>2023</v>
      </c>
      <c r="E139" t="s">
        <v>58</v>
      </c>
      <c r="F139" t="s">
        <v>50</v>
      </c>
      <c r="G139" t="s">
        <v>23</v>
      </c>
      <c r="H139">
        <v>12</v>
      </c>
      <c r="I139">
        <v>134503021</v>
      </c>
      <c r="J139">
        <v>0</v>
      </c>
      <c r="K139">
        <v>134503021</v>
      </c>
      <c r="L139" t="s">
        <v>69</v>
      </c>
      <c r="M139" t="s">
        <v>31</v>
      </c>
      <c r="N139" t="s">
        <v>265</v>
      </c>
      <c r="O139" t="s">
        <v>19</v>
      </c>
      <c r="P139">
        <v>6.9</v>
      </c>
      <c r="Q139">
        <v>3.3</v>
      </c>
    </row>
    <row r="140" spans="1:17" x14ac:dyDescent="0.25">
      <c r="A140" t="s">
        <v>229</v>
      </c>
      <c r="B140" s="1">
        <v>45201</v>
      </c>
      <c r="C140" t="s">
        <v>251</v>
      </c>
      <c r="D140">
        <v>2023</v>
      </c>
      <c r="E140" t="s">
        <v>14</v>
      </c>
      <c r="F140" t="s">
        <v>15</v>
      </c>
      <c r="G140" t="s">
        <v>16</v>
      </c>
      <c r="H140">
        <v>17</v>
      </c>
      <c r="I140">
        <v>116825347</v>
      </c>
      <c r="J140">
        <v>0</v>
      </c>
      <c r="K140">
        <v>116825347</v>
      </c>
      <c r="L140" t="s">
        <v>30</v>
      </c>
      <c r="M140" t="s">
        <v>25</v>
      </c>
      <c r="N140" t="s">
        <v>265</v>
      </c>
      <c r="O140" t="s">
        <v>39</v>
      </c>
      <c r="P140">
        <v>6.21</v>
      </c>
      <c r="Q140">
        <v>7.07</v>
      </c>
    </row>
    <row r="141" spans="1:17" x14ac:dyDescent="0.25">
      <c r="A141" t="s">
        <v>233</v>
      </c>
      <c r="B141" s="1">
        <v>45375</v>
      </c>
      <c r="C141" t="s">
        <v>256</v>
      </c>
      <c r="D141">
        <v>2024</v>
      </c>
      <c r="E141" t="s">
        <v>14</v>
      </c>
      <c r="F141" t="s">
        <v>15</v>
      </c>
      <c r="G141" t="s">
        <v>29</v>
      </c>
      <c r="H141">
        <v>9</v>
      </c>
      <c r="I141">
        <v>146174916</v>
      </c>
      <c r="J141">
        <v>0</v>
      </c>
      <c r="K141">
        <v>146174916</v>
      </c>
      <c r="L141" t="s">
        <v>69</v>
      </c>
      <c r="M141" t="s">
        <v>31</v>
      </c>
      <c r="N141" t="s">
        <v>265</v>
      </c>
      <c r="O141" t="s">
        <v>39</v>
      </c>
      <c r="P141">
        <v>6.21</v>
      </c>
      <c r="Q141">
        <v>7.07</v>
      </c>
    </row>
    <row r="142" spans="1:17" x14ac:dyDescent="0.25">
      <c r="A142" t="s">
        <v>234</v>
      </c>
      <c r="B142" s="1">
        <v>44976</v>
      </c>
      <c r="C142" t="s">
        <v>255</v>
      </c>
      <c r="D142">
        <v>2023</v>
      </c>
      <c r="E142" t="s">
        <v>54</v>
      </c>
      <c r="F142" t="s">
        <v>55</v>
      </c>
      <c r="G142" t="s">
        <v>16</v>
      </c>
      <c r="H142">
        <v>30</v>
      </c>
      <c r="I142">
        <v>116897162</v>
      </c>
      <c r="J142">
        <v>0</v>
      </c>
      <c r="K142">
        <v>116897162</v>
      </c>
      <c r="L142" t="s">
        <v>30</v>
      </c>
      <c r="M142" t="s">
        <v>18</v>
      </c>
      <c r="N142" t="s">
        <v>265</v>
      </c>
      <c r="O142" t="s">
        <v>39</v>
      </c>
      <c r="P142">
        <v>11.83</v>
      </c>
      <c r="Q142">
        <v>13.15</v>
      </c>
    </row>
    <row r="143" spans="1:17" x14ac:dyDescent="0.25">
      <c r="A143" t="s">
        <v>237</v>
      </c>
      <c r="B143" s="1">
        <v>44944</v>
      </c>
      <c r="C143" t="s">
        <v>253</v>
      </c>
      <c r="D143">
        <v>2023</v>
      </c>
      <c r="E143" t="s">
        <v>54</v>
      </c>
      <c r="F143" t="s">
        <v>55</v>
      </c>
      <c r="G143" t="s">
        <v>23</v>
      </c>
      <c r="H143">
        <v>35</v>
      </c>
      <c r="I143">
        <v>11743618</v>
      </c>
      <c r="J143">
        <v>0</v>
      </c>
      <c r="K143">
        <v>11743618</v>
      </c>
      <c r="L143" t="s">
        <v>24</v>
      </c>
      <c r="M143" t="s">
        <v>25</v>
      </c>
      <c r="N143" t="s">
        <v>267</v>
      </c>
      <c r="O143" t="s">
        <v>39</v>
      </c>
      <c r="P143">
        <v>11.83</v>
      </c>
      <c r="Q143">
        <v>13.15</v>
      </c>
    </row>
    <row r="144" spans="1:17" x14ac:dyDescent="0.25">
      <c r="A144" t="s">
        <v>238</v>
      </c>
      <c r="B144" s="1">
        <v>45349</v>
      </c>
      <c r="C144" t="s">
        <v>255</v>
      </c>
      <c r="D144">
        <v>2024</v>
      </c>
      <c r="E144" t="s">
        <v>65</v>
      </c>
      <c r="F144" t="s">
        <v>37</v>
      </c>
      <c r="G144" t="s">
        <v>23</v>
      </c>
      <c r="H144">
        <v>40</v>
      </c>
      <c r="I144">
        <v>20081604</v>
      </c>
      <c r="J144">
        <v>0</v>
      </c>
      <c r="K144">
        <v>20081604</v>
      </c>
      <c r="L144" t="s">
        <v>30</v>
      </c>
      <c r="M144" t="s">
        <v>34</v>
      </c>
      <c r="N144" t="s">
        <v>265</v>
      </c>
      <c r="O144" t="s">
        <v>39</v>
      </c>
      <c r="P144">
        <v>12.17</v>
      </c>
      <c r="Q144">
        <v>6.66</v>
      </c>
    </row>
    <row r="145" spans="1:17" x14ac:dyDescent="0.25">
      <c r="A145" t="s">
        <v>26</v>
      </c>
      <c r="B145" s="1">
        <v>45296</v>
      </c>
      <c r="C145" t="s">
        <v>253</v>
      </c>
      <c r="D145">
        <v>2024</v>
      </c>
      <c r="E145" t="s">
        <v>27</v>
      </c>
      <c r="F145" t="s">
        <v>28</v>
      </c>
      <c r="G145" t="s">
        <v>29</v>
      </c>
      <c r="H145">
        <v>27</v>
      </c>
      <c r="I145">
        <v>134801379</v>
      </c>
      <c r="J145">
        <v>79002054</v>
      </c>
      <c r="K145">
        <v>55799325</v>
      </c>
      <c r="L145" t="s">
        <v>30</v>
      </c>
      <c r="M145" t="s">
        <v>31</v>
      </c>
      <c r="N145" t="s">
        <v>265</v>
      </c>
      <c r="O145" t="s">
        <v>19</v>
      </c>
      <c r="P145">
        <v>7.73</v>
      </c>
      <c r="Q145">
        <v>8.5399999999999991</v>
      </c>
    </row>
    <row r="146" spans="1:17" x14ac:dyDescent="0.25">
      <c r="A146" t="s">
        <v>32</v>
      </c>
      <c r="B146" s="1">
        <v>45161</v>
      </c>
      <c r="C146" t="s">
        <v>254</v>
      </c>
      <c r="D146">
        <v>2023</v>
      </c>
      <c r="E146" t="s">
        <v>33</v>
      </c>
      <c r="F146" t="s">
        <v>22</v>
      </c>
      <c r="G146" t="s">
        <v>16</v>
      </c>
      <c r="H146">
        <v>2</v>
      </c>
      <c r="I146">
        <v>76320051</v>
      </c>
      <c r="J146">
        <v>24647031</v>
      </c>
      <c r="K146">
        <v>51673020</v>
      </c>
      <c r="L146" t="s">
        <v>17</v>
      </c>
      <c r="M146" t="s">
        <v>34</v>
      </c>
      <c r="N146" t="s">
        <v>266</v>
      </c>
      <c r="O146" t="s">
        <v>19</v>
      </c>
      <c r="P146">
        <v>4.75</v>
      </c>
      <c r="Q146">
        <v>7.01</v>
      </c>
    </row>
    <row r="147" spans="1:17" x14ac:dyDescent="0.25">
      <c r="A147" t="s">
        <v>35</v>
      </c>
      <c r="B147" s="1">
        <v>44972</v>
      </c>
      <c r="C147" t="s">
        <v>255</v>
      </c>
      <c r="D147">
        <v>2023</v>
      </c>
      <c r="E147" t="s">
        <v>36</v>
      </c>
      <c r="F147" t="s">
        <v>37</v>
      </c>
      <c r="G147" t="s">
        <v>38</v>
      </c>
      <c r="H147">
        <v>26</v>
      </c>
      <c r="I147">
        <v>0</v>
      </c>
      <c r="J147">
        <v>41156046</v>
      </c>
      <c r="K147">
        <v>-41156046</v>
      </c>
      <c r="L147" t="s">
        <v>17</v>
      </c>
      <c r="M147" t="s">
        <v>18</v>
      </c>
      <c r="N147" t="s">
        <v>266</v>
      </c>
      <c r="O147" t="s">
        <v>39</v>
      </c>
      <c r="P147">
        <v>10.52</v>
      </c>
      <c r="Q147">
        <v>7.44</v>
      </c>
    </row>
    <row r="148" spans="1:17" x14ac:dyDescent="0.25">
      <c r="A148" t="s">
        <v>41</v>
      </c>
      <c r="B148" s="1">
        <v>45189</v>
      </c>
      <c r="C148" t="s">
        <v>257</v>
      </c>
      <c r="D148">
        <v>2023</v>
      </c>
      <c r="E148" t="s">
        <v>14</v>
      </c>
      <c r="F148" t="s">
        <v>15</v>
      </c>
      <c r="G148" t="s">
        <v>42</v>
      </c>
      <c r="H148">
        <v>6</v>
      </c>
      <c r="I148">
        <v>55275076</v>
      </c>
      <c r="J148">
        <v>22699975</v>
      </c>
      <c r="K148">
        <v>32575101</v>
      </c>
      <c r="L148" t="s">
        <v>24</v>
      </c>
      <c r="M148" t="s">
        <v>25</v>
      </c>
      <c r="N148" t="s">
        <v>267</v>
      </c>
      <c r="O148" t="s">
        <v>19</v>
      </c>
      <c r="P148">
        <v>6.21</v>
      </c>
      <c r="Q148">
        <v>7.07</v>
      </c>
    </row>
    <row r="149" spans="1:17" x14ac:dyDescent="0.25">
      <c r="A149" t="s">
        <v>43</v>
      </c>
      <c r="B149" s="1">
        <v>44979</v>
      </c>
      <c r="C149" t="s">
        <v>255</v>
      </c>
      <c r="D149">
        <v>2023</v>
      </c>
      <c r="E149" t="s">
        <v>44</v>
      </c>
      <c r="F149" t="s">
        <v>37</v>
      </c>
      <c r="G149" t="s">
        <v>42</v>
      </c>
      <c r="H149">
        <v>7</v>
      </c>
      <c r="I149">
        <v>0</v>
      </c>
      <c r="J149">
        <v>50956733</v>
      </c>
      <c r="K149">
        <v>-50956733</v>
      </c>
      <c r="L149" t="s">
        <v>30</v>
      </c>
      <c r="M149" t="s">
        <v>31</v>
      </c>
      <c r="N149" t="s">
        <v>265</v>
      </c>
      <c r="O149" t="s">
        <v>39</v>
      </c>
      <c r="P149">
        <v>12.99</v>
      </c>
      <c r="Q149">
        <v>7.6</v>
      </c>
    </row>
    <row r="150" spans="1:17" x14ac:dyDescent="0.25">
      <c r="A150" t="s">
        <v>45</v>
      </c>
      <c r="B150" s="1">
        <v>45031</v>
      </c>
      <c r="C150" t="s">
        <v>258</v>
      </c>
      <c r="D150">
        <v>2023</v>
      </c>
      <c r="E150" t="s">
        <v>14</v>
      </c>
      <c r="F150" t="s">
        <v>15</v>
      </c>
      <c r="G150" t="s">
        <v>42</v>
      </c>
      <c r="H150">
        <v>26</v>
      </c>
      <c r="I150">
        <v>0</v>
      </c>
      <c r="J150">
        <v>88603491</v>
      </c>
      <c r="K150">
        <v>-88603491</v>
      </c>
      <c r="L150" t="s">
        <v>17</v>
      </c>
      <c r="M150" t="s">
        <v>18</v>
      </c>
      <c r="N150" t="s">
        <v>266</v>
      </c>
      <c r="O150" t="s">
        <v>19</v>
      </c>
      <c r="P150">
        <v>6.21</v>
      </c>
      <c r="Q150">
        <v>7.07</v>
      </c>
    </row>
    <row r="151" spans="1:17" x14ac:dyDescent="0.25">
      <c r="A151" t="s">
        <v>48</v>
      </c>
      <c r="B151" s="1">
        <v>45426</v>
      </c>
      <c r="C151" t="s">
        <v>259</v>
      </c>
      <c r="D151">
        <v>2024</v>
      </c>
      <c r="E151" t="s">
        <v>49</v>
      </c>
      <c r="F151" t="s">
        <v>50</v>
      </c>
      <c r="G151" t="s">
        <v>38</v>
      </c>
      <c r="H151">
        <v>2</v>
      </c>
      <c r="I151">
        <v>0</v>
      </c>
      <c r="J151">
        <v>58873884</v>
      </c>
      <c r="K151">
        <v>-58873884</v>
      </c>
      <c r="L151" t="s">
        <v>17</v>
      </c>
      <c r="M151" t="s">
        <v>31</v>
      </c>
      <c r="N151" t="s">
        <v>266</v>
      </c>
      <c r="O151" t="s">
        <v>39</v>
      </c>
      <c r="P151">
        <v>7.38</v>
      </c>
      <c r="Q151">
        <v>3.93</v>
      </c>
    </row>
    <row r="152" spans="1:17" x14ac:dyDescent="0.25">
      <c r="A152" t="s">
        <v>62</v>
      </c>
      <c r="B152" s="1">
        <v>45399</v>
      </c>
      <c r="C152" t="s">
        <v>258</v>
      </c>
      <c r="D152">
        <v>2024</v>
      </c>
      <c r="E152" t="s">
        <v>44</v>
      </c>
      <c r="F152" t="s">
        <v>37</v>
      </c>
      <c r="G152" t="s">
        <v>29</v>
      </c>
      <c r="H152">
        <v>6</v>
      </c>
      <c r="I152">
        <v>0</v>
      </c>
      <c r="J152">
        <v>91448340</v>
      </c>
      <c r="K152">
        <v>-91448340</v>
      </c>
      <c r="L152" t="s">
        <v>30</v>
      </c>
      <c r="M152" t="s">
        <v>18</v>
      </c>
      <c r="N152" t="s">
        <v>265</v>
      </c>
      <c r="O152" t="s">
        <v>39</v>
      </c>
      <c r="P152">
        <v>12.99</v>
      </c>
      <c r="Q152">
        <v>7.6</v>
      </c>
    </row>
    <row r="153" spans="1:17" x14ac:dyDescent="0.25">
      <c r="A153" t="s">
        <v>66</v>
      </c>
      <c r="B153" s="1">
        <v>45145</v>
      </c>
      <c r="C153" t="s">
        <v>254</v>
      </c>
      <c r="D153">
        <v>2023</v>
      </c>
      <c r="E153" t="s">
        <v>67</v>
      </c>
      <c r="F153" t="s">
        <v>50</v>
      </c>
      <c r="G153" t="s">
        <v>29</v>
      </c>
      <c r="H153">
        <v>18</v>
      </c>
      <c r="I153">
        <v>0</v>
      </c>
      <c r="J153">
        <v>8072532</v>
      </c>
      <c r="K153">
        <v>-8072532</v>
      </c>
      <c r="L153" t="s">
        <v>24</v>
      </c>
      <c r="M153" t="s">
        <v>31</v>
      </c>
      <c r="N153" t="s">
        <v>267</v>
      </c>
      <c r="O153" t="s">
        <v>39</v>
      </c>
      <c r="P153">
        <v>6.52</v>
      </c>
      <c r="Q153">
        <v>3.37</v>
      </c>
    </row>
    <row r="154" spans="1:17" x14ac:dyDescent="0.25">
      <c r="A154" t="s">
        <v>68</v>
      </c>
      <c r="B154" s="1">
        <v>44985</v>
      </c>
      <c r="C154" t="s">
        <v>255</v>
      </c>
      <c r="D154">
        <v>2023</v>
      </c>
      <c r="E154" t="s">
        <v>33</v>
      </c>
      <c r="F154" t="s">
        <v>22</v>
      </c>
      <c r="G154" t="s">
        <v>56</v>
      </c>
      <c r="H154">
        <v>5</v>
      </c>
      <c r="I154">
        <v>0</v>
      </c>
      <c r="J154">
        <v>71976301</v>
      </c>
      <c r="K154">
        <v>-71976301</v>
      </c>
      <c r="L154" t="s">
        <v>69</v>
      </c>
      <c r="M154" t="s">
        <v>31</v>
      </c>
      <c r="N154" t="s">
        <v>265</v>
      </c>
      <c r="O154" t="s">
        <v>19</v>
      </c>
      <c r="P154">
        <v>4.75</v>
      </c>
      <c r="Q154">
        <v>7.01</v>
      </c>
    </row>
    <row r="155" spans="1:17" x14ac:dyDescent="0.25">
      <c r="A155" t="s">
        <v>72</v>
      </c>
      <c r="B155" s="1">
        <v>45422</v>
      </c>
      <c r="C155" t="s">
        <v>259</v>
      </c>
      <c r="D155">
        <v>2024</v>
      </c>
      <c r="E155" t="s">
        <v>61</v>
      </c>
      <c r="F155" t="s">
        <v>28</v>
      </c>
      <c r="G155" t="s">
        <v>23</v>
      </c>
      <c r="H155">
        <v>35</v>
      </c>
      <c r="I155">
        <v>38104390</v>
      </c>
      <c r="J155">
        <v>35241691</v>
      </c>
      <c r="K155">
        <v>2862699</v>
      </c>
      <c r="L155" t="s">
        <v>30</v>
      </c>
      <c r="M155" t="s">
        <v>31</v>
      </c>
      <c r="N155" t="s">
        <v>265</v>
      </c>
      <c r="O155" t="s">
        <v>39</v>
      </c>
      <c r="P155">
        <v>9.07</v>
      </c>
      <c r="Q155">
        <v>7.49</v>
      </c>
    </row>
    <row r="156" spans="1:17" x14ac:dyDescent="0.25">
      <c r="A156" t="s">
        <v>73</v>
      </c>
      <c r="B156" s="1">
        <v>45286</v>
      </c>
      <c r="C156" t="s">
        <v>262</v>
      </c>
      <c r="D156">
        <v>2023</v>
      </c>
      <c r="E156" t="s">
        <v>61</v>
      </c>
      <c r="F156" t="s">
        <v>28</v>
      </c>
      <c r="G156" t="s">
        <v>38</v>
      </c>
      <c r="H156">
        <v>5</v>
      </c>
      <c r="I156">
        <v>0</v>
      </c>
      <c r="J156">
        <v>84955125</v>
      </c>
      <c r="K156">
        <v>-84955125</v>
      </c>
      <c r="L156" t="s">
        <v>24</v>
      </c>
      <c r="M156" t="s">
        <v>34</v>
      </c>
      <c r="N156" t="s">
        <v>267</v>
      </c>
      <c r="O156" t="s">
        <v>39</v>
      </c>
      <c r="P156">
        <v>9.07</v>
      </c>
      <c r="Q156">
        <v>7.49</v>
      </c>
    </row>
    <row r="157" spans="1:17" x14ac:dyDescent="0.25">
      <c r="A157" t="s">
        <v>75</v>
      </c>
      <c r="B157" s="1">
        <v>45308</v>
      </c>
      <c r="C157" t="s">
        <v>253</v>
      </c>
      <c r="D157">
        <v>2024</v>
      </c>
      <c r="E157" t="s">
        <v>67</v>
      </c>
      <c r="F157" t="s">
        <v>50</v>
      </c>
      <c r="G157" t="s">
        <v>47</v>
      </c>
      <c r="H157">
        <v>1</v>
      </c>
      <c r="I157">
        <v>0</v>
      </c>
      <c r="J157">
        <v>30646944</v>
      </c>
      <c r="K157">
        <v>-30646944</v>
      </c>
      <c r="L157" t="s">
        <v>30</v>
      </c>
      <c r="M157" t="s">
        <v>31</v>
      </c>
      <c r="N157" t="s">
        <v>265</v>
      </c>
      <c r="O157" t="s">
        <v>19</v>
      </c>
      <c r="P157">
        <v>6.52</v>
      </c>
      <c r="Q157">
        <v>3.37</v>
      </c>
    </row>
    <row r="158" spans="1:17" x14ac:dyDescent="0.25">
      <c r="A158" t="s">
        <v>77</v>
      </c>
      <c r="B158" s="1">
        <v>45207</v>
      </c>
      <c r="C158" t="s">
        <v>251</v>
      </c>
      <c r="D158">
        <v>2023</v>
      </c>
      <c r="E158" t="s">
        <v>27</v>
      </c>
      <c r="F158" t="s">
        <v>28</v>
      </c>
      <c r="G158" t="s">
        <v>38</v>
      </c>
      <c r="H158">
        <v>8</v>
      </c>
      <c r="I158">
        <v>52950578</v>
      </c>
      <c r="J158">
        <v>61257860</v>
      </c>
      <c r="K158">
        <v>-8307282</v>
      </c>
      <c r="L158" t="s">
        <v>30</v>
      </c>
      <c r="M158" t="s">
        <v>31</v>
      </c>
      <c r="N158" t="s">
        <v>265</v>
      </c>
      <c r="O158" t="s">
        <v>39</v>
      </c>
      <c r="P158">
        <v>7.73</v>
      </c>
      <c r="Q158">
        <v>8.5399999999999991</v>
      </c>
    </row>
    <row r="159" spans="1:17" x14ac:dyDescent="0.25">
      <c r="A159" t="s">
        <v>83</v>
      </c>
      <c r="B159" s="1">
        <v>45014</v>
      </c>
      <c r="C159" t="s">
        <v>256</v>
      </c>
      <c r="D159">
        <v>2023</v>
      </c>
      <c r="E159" t="s">
        <v>52</v>
      </c>
      <c r="F159" t="s">
        <v>37</v>
      </c>
      <c r="G159" t="s">
        <v>42</v>
      </c>
      <c r="H159">
        <v>17</v>
      </c>
      <c r="I159">
        <v>0</v>
      </c>
      <c r="J159">
        <v>74380311</v>
      </c>
      <c r="K159">
        <v>-74380311</v>
      </c>
      <c r="L159" t="s">
        <v>30</v>
      </c>
      <c r="M159" t="s">
        <v>34</v>
      </c>
      <c r="N159" t="s">
        <v>265</v>
      </c>
      <c r="O159" t="s">
        <v>39</v>
      </c>
      <c r="P159">
        <v>12</v>
      </c>
      <c r="Q159">
        <v>8.52</v>
      </c>
    </row>
    <row r="160" spans="1:17" x14ac:dyDescent="0.25">
      <c r="A160" t="s">
        <v>85</v>
      </c>
      <c r="B160" s="1">
        <v>45167</v>
      </c>
      <c r="C160" t="s">
        <v>254</v>
      </c>
      <c r="D160">
        <v>2023</v>
      </c>
      <c r="E160" t="s">
        <v>61</v>
      </c>
      <c r="F160" t="s">
        <v>28</v>
      </c>
      <c r="G160" t="s">
        <v>56</v>
      </c>
      <c r="H160">
        <v>8</v>
      </c>
      <c r="I160">
        <v>0</v>
      </c>
      <c r="J160">
        <v>52917439</v>
      </c>
      <c r="K160">
        <v>-52917439</v>
      </c>
      <c r="L160" t="s">
        <v>69</v>
      </c>
      <c r="M160" t="s">
        <v>34</v>
      </c>
      <c r="N160" t="s">
        <v>265</v>
      </c>
      <c r="O160" t="s">
        <v>39</v>
      </c>
      <c r="P160">
        <v>9.07</v>
      </c>
      <c r="Q160">
        <v>7.49</v>
      </c>
    </row>
    <row r="161" spans="1:17" x14ac:dyDescent="0.25">
      <c r="A161" t="s">
        <v>86</v>
      </c>
      <c r="B161" s="1">
        <v>45110</v>
      </c>
      <c r="C161" t="s">
        <v>261</v>
      </c>
      <c r="D161">
        <v>2023</v>
      </c>
      <c r="E161" t="s">
        <v>44</v>
      </c>
      <c r="F161" t="s">
        <v>37</v>
      </c>
      <c r="G161" t="s">
        <v>42</v>
      </c>
      <c r="H161">
        <v>22</v>
      </c>
      <c r="I161">
        <v>7100511</v>
      </c>
      <c r="J161">
        <v>37925306</v>
      </c>
      <c r="K161">
        <v>-30824795</v>
      </c>
      <c r="L161" t="s">
        <v>24</v>
      </c>
      <c r="M161" t="s">
        <v>31</v>
      </c>
      <c r="N161" t="s">
        <v>267</v>
      </c>
      <c r="O161" t="s">
        <v>19</v>
      </c>
      <c r="P161">
        <v>12.99</v>
      </c>
      <c r="Q161">
        <v>7.6</v>
      </c>
    </row>
    <row r="162" spans="1:17" x14ac:dyDescent="0.25">
      <c r="A162" t="s">
        <v>87</v>
      </c>
      <c r="B162" s="1">
        <v>45298</v>
      </c>
      <c r="C162" t="s">
        <v>253</v>
      </c>
      <c r="D162">
        <v>2024</v>
      </c>
      <c r="E162" t="s">
        <v>54</v>
      </c>
      <c r="F162" t="s">
        <v>55</v>
      </c>
      <c r="G162" t="s">
        <v>47</v>
      </c>
      <c r="H162">
        <v>10</v>
      </c>
      <c r="I162">
        <v>0</v>
      </c>
      <c r="J162">
        <v>26936358</v>
      </c>
      <c r="K162">
        <v>-26936358</v>
      </c>
      <c r="L162" t="s">
        <v>69</v>
      </c>
      <c r="M162" t="s">
        <v>25</v>
      </c>
      <c r="N162" t="s">
        <v>265</v>
      </c>
      <c r="O162" t="s">
        <v>39</v>
      </c>
      <c r="P162">
        <v>11.83</v>
      </c>
      <c r="Q162">
        <v>13.15</v>
      </c>
    </row>
    <row r="163" spans="1:17" x14ac:dyDescent="0.25">
      <c r="A163" t="s">
        <v>92</v>
      </c>
      <c r="B163" s="1">
        <v>45290</v>
      </c>
      <c r="C163" t="s">
        <v>262</v>
      </c>
      <c r="D163">
        <v>2023</v>
      </c>
      <c r="E163" t="s">
        <v>33</v>
      </c>
      <c r="F163" t="s">
        <v>22</v>
      </c>
      <c r="G163" t="s">
        <v>38</v>
      </c>
      <c r="H163">
        <v>39</v>
      </c>
      <c r="I163">
        <v>88459239</v>
      </c>
      <c r="J163">
        <v>80862913</v>
      </c>
      <c r="K163">
        <v>7596326</v>
      </c>
      <c r="L163" t="s">
        <v>17</v>
      </c>
      <c r="M163" t="s">
        <v>25</v>
      </c>
      <c r="N163" t="s">
        <v>266</v>
      </c>
      <c r="O163" t="s">
        <v>39</v>
      </c>
      <c r="P163">
        <v>4.75</v>
      </c>
      <c r="Q163">
        <v>7.01</v>
      </c>
    </row>
    <row r="164" spans="1:17" x14ac:dyDescent="0.25">
      <c r="A164" t="s">
        <v>94</v>
      </c>
      <c r="B164" s="1">
        <v>45315</v>
      </c>
      <c r="C164" t="s">
        <v>253</v>
      </c>
      <c r="D164">
        <v>2024</v>
      </c>
      <c r="E164" t="s">
        <v>58</v>
      </c>
      <c r="F164" t="s">
        <v>50</v>
      </c>
      <c r="G164" t="s">
        <v>16</v>
      </c>
      <c r="H164">
        <v>21</v>
      </c>
      <c r="I164">
        <v>0</v>
      </c>
      <c r="J164">
        <v>33212155</v>
      </c>
      <c r="K164">
        <v>-33212155</v>
      </c>
      <c r="L164" t="s">
        <v>17</v>
      </c>
      <c r="M164" t="s">
        <v>18</v>
      </c>
      <c r="N164" t="s">
        <v>266</v>
      </c>
      <c r="O164" t="s">
        <v>19</v>
      </c>
      <c r="P164">
        <v>6.9</v>
      </c>
      <c r="Q164">
        <v>3.3</v>
      </c>
    </row>
    <row r="165" spans="1:17" x14ac:dyDescent="0.25">
      <c r="A165" t="s">
        <v>95</v>
      </c>
      <c r="B165" s="1">
        <v>45295</v>
      </c>
      <c r="C165" t="s">
        <v>253</v>
      </c>
      <c r="D165">
        <v>2024</v>
      </c>
      <c r="E165" t="s">
        <v>58</v>
      </c>
      <c r="F165" t="s">
        <v>50</v>
      </c>
      <c r="G165" t="s">
        <v>56</v>
      </c>
      <c r="H165">
        <v>36</v>
      </c>
      <c r="I165">
        <v>126554589</v>
      </c>
      <c r="J165">
        <v>79599340</v>
      </c>
      <c r="K165">
        <v>46955249</v>
      </c>
      <c r="L165" t="s">
        <v>24</v>
      </c>
      <c r="M165" t="s">
        <v>34</v>
      </c>
      <c r="N165" t="s">
        <v>267</v>
      </c>
      <c r="O165" t="s">
        <v>19</v>
      </c>
      <c r="P165">
        <v>6.9</v>
      </c>
      <c r="Q165">
        <v>3.3</v>
      </c>
    </row>
    <row r="166" spans="1:17" x14ac:dyDescent="0.25">
      <c r="A166" t="s">
        <v>99</v>
      </c>
      <c r="B166" s="1">
        <v>45142</v>
      </c>
      <c r="C166" t="s">
        <v>254</v>
      </c>
      <c r="D166">
        <v>2023</v>
      </c>
      <c r="E166" t="s">
        <v>61</v>
      </c>
      <c r="F166" t="s">
        <v>28</v>
      </c>
      <c r="G166" t="s">
        <v>47</v>
      </c>
      <c r="H166">
        <v>17</v>
      </c>
      <c r="I166">
        <v>39753311</v>
      </c>
      <c r="J166">
        <v>19811174</v>
      </c>
      <c r="K166">
        <v>19942137</v>
      </c>
      <c r="L166" t="s">
        <v>69</v>
      </c>
      <c r="M166" t="s">
        <v>18</v>
      </c>
      <c r="N166" t="s">
        <v>265</v>
      </c>
      <c r="O166" t="s">
        <v>39</v>
      </c>
      <c r="P166">
        <v>9.07</v>
      </c>
      <c r="Q166">
        <v>7.49</v>
      </c>
    </row>
    <row r="167" spans="1:17" x14ac:dyDescent="0.25">
      <c r="A167" t="s">
        <v>104</v>
      </c>
      <c r="B167" s="1">
        <v>45025</v>
      </c>
      <c r="C167" t="s">
        <v>258</v>
      </c>
      <c r="D167">
        <v>2023</v>
      </c>
      <c r="E167" t="s">
        <v>65</v>
      </c>
      <c r="F167" t="s">
        <v>37</v>
      </c>
      <c r="G167" t="s">
        <v>23</v>
      </c>
      <c r="H167">
        <v>35</v>
      </c>
      <c r="I167">
        <v>0</v>
      </c>
      <c r="J167">
        <v>80424974</v>
      </c>
      <c r="K167">
        <v>-80424974</v>
      </c>
      <c r="L167" t="s">
        <v>69</v>
      </c>
      <c r="M167" t="s">
        <v>31</v>
      </c>
      <c r="N167" t="s">
        <v>265</v>
      </c>
      <c r="O167" t="s">
        <v>19</v>
      </c>
      <c r="P167">
        <v>12.17</v>
      </c>
      <c r="Q167">
        <v>6.66</v>
      </c>
    </row>
    <row r="168" spans="1:17" x14ac:dyDescent="0.25">
      <c r="A168" t="s">
        <v>108</v>
      </c>
      <c r="B168" s="1">
        <v>45285</v>
      </c>
      <c r="C168" t="s">
        <v>262</v>
      </c>
      <c r="D168">
        <v>2023</v>
      </c>
      <c r="E168" t="s">
        <v>65</v>
      </c>
      <c r="F168" t="s">
        <v>37</v>
      </c>
      <c r="G168" t="s">
        <v>38</v>
      </c>
      <c r="H168">
        <v>5</v>
      </c>
      <c r="I168">
        <v>0</v>
      </c>
      <c r="J168">
        <v>45646850</v>
      </c>
      <c r="K168">
        <v>-45646850</v>
      </c>
      <c r="L168" t="s">
        <v>24</v>
      </c>
      <c r="M168" t="s">
        <v>31</v>
      </c>
      <c r="N168" t="s">
        <v>267</v>
      </c>
      <c r="O168" t="s">
        <v>39</v>
      </c>
      <c r="P168">
        <v>12.17</v>
      </c>
      <c r="Q168">
        <v>6.66</v>
      </c>
    </row>
    <row r="169" spans="1:17" x14ac:dyDescent="0.25">
      <c r="A169" t="s">
        <v>109</v>
      </c>
      <c r="B169" s="1">
        <v>45190</v>
      </c>
      <c r="C169" t="s">
        <v>257</v>
      </c>
      <c r="D169">
        <v>2023</v>
      </c>
      <c r="E169" t="s">
        <v>27</v>
      </c>
      <c r="F169" t="s">
        <v>28</v>
      </c>
      <c r="G169" t="s">
        <v>38</v>
      </c>
      <c r="H169">
        <v>4</v>
      </c>
      <c r="I169">
        <v>63731531</v>
      </c>
      <c r="J169">
        <v>83260677</v>
      </c>
      <c r="K169">
        <v>-19529146</v>
      </c>
      <c r="L169" t="s">
        <v>24</v>
      </c>
      <c r="M169" t="s">
        <v>18</v>
      </c>
      <c r="N169" t="s">
        <v>267</v>
      </c>
      <c r="O169" t="s">
        <v>19</v>
      </c>
      <c r="P169">
        <v>7.73</v>
      </c>
      <c r="Q169">
        <v>8.5399999999999991</v>
      </c>
    </row>
    <row r="170" spans="1:17" x14ac:dyDescent="0.25">
      <c r="A170" t="s">
        <v>121</v>
      </c>
      <c r="B170" s="1">
        <v>45241</v>
      </c>
      <c r="C170" t="s">
        <v>260</v>
      </c>
      <c r="D170">
        <v>2023</v>
      </c>
      <c r="E170" t="s">
        <v>61</v>
      </c>
      <c r="F170" t="s">
        <v>28</v>
      </c>
      <c r="G170" t="s">
        <v>47</v>
      </c>
      <c r="H170">
        <v>15</v>
      </c>
      <c r="I170">
        <v>0</v>
      </c>
      <c r="J170">
        <v>48232000</v>
      </c>
      <c r="K170">
        <v>-48232000</v>
      </c>
      <c r="L170" t="s">
        <v>17</v>
      </c>
      <c r="M170" t="s">
        <v>31</v>
      </c>
      <c r="N170" t="s">
        <v>266</v>
      </c>
      <c r="O170" t="s">
        <v>39</v>
      </c>
      <c r="P170">
        <v>9.07</v>
      </c>
      <c r="Q170">
        <v>7.49</v>
      </c>
    </row>
    <row r="171" spans="1:17" x14ac:dyDescent="0.25">
      <c r="A171" t="s">
        <v>122</v>
      </c>
      <c r="B171" s="1">
        <v>45417</v>
      </c>
      <c r="C171" t="s">
        <v>259</v>
      </c>
      <c r="D171">
        <v>2024</v>
      </c>
      <c r="E171" t="s">
        <v>54</v>
      </c>
      <c r="F171" t="s">
        <v>55</v>
      </c>
      <c r="G171" t="s">
        <v>38</v>
      </c>
      <c r="H171">
        <v>30</v>
      </c>
      <c r="I171">
        <v>0</v>
      </c>
      <c r="J171">
        <v>63541531</v>
      </c>
      <c r="K171">
        <v>-63541531</v>
      </c>
      <c r="L171" t="s">
        <v>24</v>
      </c>
      <c r="M171" t="s">
        <v>25</v>
      </c>
      <c r="N171" t="s">
        <v>267</v>
      </c>
      <c r="O171" t="s">
        <v>19</v>
      </c>
      <c r="P171">
        <v>11.83</v>
      </c>
      <c r="Q171">
        <v>13.15</v>
      </c>
    </row>
    <row r="172" spans="1:17" x14ac:dyDescent="0.25">
      <c r="A172" t="s">
        <v>123</v>
      </c>
      <c r="B172" s="1">
        <v>45341</v>
      </c>
      <c r="C172" t="s">
        <v>255</v>
      </c>
      <c r="D172">
        <v>2024</v>
      </c>
      <c r="E172" t="s">
        <v>21</v>
      </c>
      <c r="F172" t="s">
        <v>22</v>
      </c>
      <c r="G172" t="s">
        <v>56</v>
      </c>
      <c r="H172">
        <v>21</v>
      </c>
      <c r="I172">
        <v>131784158</v>
      </c>
      <c r="J172">
        <v>42881158</v>
      </c>
      <c r="K172">
        <v>88903000</v>
      </c>
      <c r="L172" t="s">
        <v>17</v>
      </c>
      <c r="M172" t="s">
        <v>18</v>
      </c>
      <c r="N172" t="s">
        <v>266</v>
      </c>
      <c r="O172" t="s">
        <v>39</v>
      </c>
      <c r="P172">
        <v>5.7</v>
      </c>
      <c r="Q172">
        <v>5.9</v>
      </c>
    </row>
    <row r="173" spans="1:17" x14ac:dyDescent="0.25">
      <c r="A173" t="s">
        <v>125</v>
      </c>
      <c r="B173" s="1">
        <v>45308</v>
      </c>
      <c r="C173" t="s">
        <v>253</v>
      </c>
      <c r="D173">
        <v>2024</v>
      </c>
      <c r="E173" t="s">
        <v>65</v>
      </c>
      <c r="F173" t="s">
        <v>37</v>
      </c>
      <c r="G173" t="s">
        <v>42</v>
      </c>
      <c r="H173">
        <v>28</v>
      </c>
      <c r="I173">
        <v>0</v>
      </c>
      <c r="J173">
        <v>80341878</v>
      </c>
      <c r="K173">
        <v>-80341878</v>
      </c>
      <c r="L173" t="s">
        <v>17</v>
      </c>
      <c r="M173" t="s">
        <v>25</v>
      </c>
      <c r="N173" t="s">
        <v>266</v>
      </c>
      <c r="O173" t="s">
        <v>39</v>
      </c>
      <c r="P173">
        <v>12.17</v>
      </c>
      <c r="Q173">
        <v>6.66</v>
      </c>
    </row>
    <row r="174" spans="1:17" x14ac:dyDescent="0.25">
      <c r="A174" t="s">
        <v>126</v>
      </c>
      <c r="B174" s="1">
        <v>45232</v>
      </c>
      <c r="C174" t="s">
        <v>260</v>
      </c>
      <c r="D174">
        <v>2023</v>
      </c>
      <c r="E174" t="s">
        <v>67</v>
      </c>
      <c r="F174" t="s">
        <v>50</v>
      </c>
      <c r="G174" t="s">
        <v>56</v>
      </c>
      <c r="H174">
        <v>3</v>
      </c>
      <c r="I174">
        <v>28781178</v>
      </c>
      <c r="J174">
        <v>61437044</v>
      </c>
      <c r="K174">
        <v>-32655866</v>
      </c>
      <c r="L174" t="s">
        <v>30</v>
      </c>
      <c r="M174" t="s">
        <v>34</v>
      </c>
      <c r="N174" t="s">
        <v>265</v>
      </c>
      <c r="O174" t="s">
        <v>39</v>
      </c>
      <c r="P174">
        <v>6.52</v>
      </c>
      <c r="Q174">
        <v>3.37</v>
      </c>
    </row>
    <row r="175" spans="1:17" x14ac:dyDescent="0.25">
      <c r="A175" t="s">
        <v>127</v>
      </c>
      <c r="B175" s="1">
        <v>45177</v>
      </c>
      <c r="C175" t="s">
        <v>257</v>
      </c>
      <c r="D175">
        <v>2023</v>
      </c>
      <c r="E175" t="s">
        <v>65</v>
      </c>
      <c r="F175" t="s">
        <v>37</v>
      </c>
      <c r="G175" t="s">
        <v>16</v>
      </c>
      <c r="H175">
        <v>14</v>
      </c>
      <c r="I175">
        <v>126735328</v>
      </c>
      <c r="J175">
        <v>54755163</v>
      </c>
      <c r="K175">
        <v>71980165</v>
      </c>
      <c r="L175" t="s">
        <v>24</v>
      </c>
      <c r="M175" t="s">
        <v>34</v>
      </c>
      <c r="N175" t="s">
        <v>267</v>
      </c>
      <c r="O175" t="s">
        <v>39</v>
      </c>
      <c r="P175">
        <v>12.17</v>
      </c>
      <c r="Q175">
        <v>6.66</v>
      </c>
    </row>
    <row r="176" spans="1:17" x14ac:dyDescent="0.25">
      <c r="A176" t="s">
        <v>137</v>
      </c>
      <c r="B176" s="1">
        <v>44944</v>
      </c>
      <c r="C176" t="s">
        <v>253</v>
      </c>
      <c r="D176">
        <v>2023</v>
      </c>
      <c r="E176" t="s">
        <v>49</v>
      </c>
      <c r="F176" t="s">
        <v>50</v>
      </c>
      <c r="G176" t="s">
        <v>42</v>
      </c>
      <c r="H176">
        <v>34</v>
      </c>
      <c r="I176">
        <v>23596044</v>
      </c>
      <c r="J176">
        <v>35603639</v>
      </c>
      <c r="K176">
        <v>-12007595</v>
      </c>
      <c r="L176" t="s">
        <v>69</v>
      </c>
      <c r="M176" t="s">
        <v>34</v>
      </c>
      <c r="N176" t="s">
        <v>265</v>
      </c>
      <c r="O176" t="s">
        <v>39</v>
      </c>
      <c r="P176">
        <v>7.38</v>
      </c>
      <c r="Q176">
        <v>3.93</v>
      </c>
    </row>
    <row r="177" spans="1:17" x14ac:dyDescent="0.25">
      <c r="A177" t="s">
        <v>145</v>
      </c>
      <c r="B177" s="1">
        <v>45418</v>
      </c>
      <c r="C177" t="s">
        <v>259</v>
      </c>
      <c r="D177">
        <v>2024</v>
      </c>
      <c r="E177" t="s">
        <v>44</v>
      </c>
      <c r="F177" t="s">
        <v>37</v>
      </c>
      <c r="G177" t="s">
        <v>23</v>
      </c>
      <c r="H177">
        <v>25</v>
      </c>
      <c r="I177">
        <v>0</v>
      </c>
      <c r="J177">
        <v>63345210</v>
      </c>
      <c r="K177">
        <v>-63345210</v>
      </c>
      <c r="L177" t="s">
        <v>30</v>
      </c>
      <c r="M177" t="s">
        <v>31</v>
      </c>
      <c r="N177" t="s">
        <v>265</v>
      </c>
      <c r="O177" t="s">
        <v>19</v>
      </c>
      <c r="P177">
        <v>12.99</v>
      </c>
      <c r="Q177">
        <v>7.6</v>
      </c>
    </row>
    <row r="178" spans="1:17" x14ac:dyDescent="0.25">
      <c r="A178" t="s">
        <v>151</v>
      </c>
      <c r="B178" s="1">
        <v>45153</v>
      </c>
      <c r="C178" t="s">
        <v>254</v>
      </c>
      <c r="D178">
        <v>2023</v>
      </c>
      <c r="E178" t="s">
        <v>61</v>
      </c>
      <c r="F178" t="s">
        <v>28</v>
      </c>
      <c r="G178" t="s">
        <v>47</v>
      </c>
      <c r="H178">
        <v>6</v>
      </c>
      <c r="I178">
        <v>134018162</v>
      </c>
      <c r="J178">
        <v>26197061</v>
      </c>
      <c r="K178">
        <v>107821101</v>
      </c>
      <c r="L178" t="s">
        <v>30</v>
      </c>
      <c r="M178" t="s">
        <v>31</v>
      </c>
      <c r="N178" t="s">
        <v>265</v>
      </c>
      <c r="O178" t="s">
        <v>39</v>
      </c>
      <c r="P178">
        <v>9.07</v>
      </c>
      <c r="Q178">
        <v>7.49</v>
      </c>
    </row>
    <row r="179" spans="1:17" x14ac:dyDescent="0.25">
      <c r="A179" t="s">
        <v>152</v>
      </c>
      <c r="B179" s="1">
        <v>45337</v>
      </c>
      <c r="C179" t="s">
        <v>255</v>
      </c>
      <c r="D179">
        <v>2024</v>
      </c>
      <c r="E179" t="s">
        <v>27</v>
      </c>
      <c r="F179" t="s">
        <v>28</v>
      </c>
      <c r="G179" t="s">
        <v>23</v>
      </c>
      <c r="H179">
        <v>18</v>
      </c>
      <c r="I179">
        <v>0</v>
      </c>
      <c r="J179">
        <v>23103392</v>
      </c>
      <c r="K179">
        <v>-23103392</v>
      </c>
      <c r="L179" t="s">
        <v>17</v>
      </c>
      <c r="M179" t="s">
        <v>31</v>
      </c>
      <c r="N179" t="s">
        <v>266</v>
      </c>
      <c r="O179" t="s">
        <v>19</v>
      </c>
      <c r="P179">
        <v>7.73</v>
      </c>
      <c r="Q179">
        <v>8.5399999999999991</v>
      </c>
    </row>
    <row r="180" spans="1:17" x14ac:dyDescent="0.25">
      <c r="A180" t="s">
        <v>153</v>
      </c>
      <c r="B180" s="1">
        <v>44971</v>
      </c>
      <c r="C180" t="s">
        <v>255</v>
      </c>
      <c r="D180">
        <v>2023</v>
      </c>
      <c r="E180" t="s">
        <v>14</v>
      </c>
      <c r="F180" t="s">
        <v>15</v>
      </c>
      <c r="G180" t="s">
        <v>23</v>
      </c>
      <c r="H180">
        <v>29</v>
      </c>
      <c r="I180">
        <v>0</v>
      </c>
      <c r="J180">
        <v>11634434</v>
      </c>
      <c r="K180">
        <v>-11634434</v>
      </c>
      <c r="L180" t="s">
        <v>24</v>
      </c>
      <c r="M180" t="s">
        <v>31</v>
      </c>
      <c r="N180" t="s">
        <v>267</v>
      </c>
      <c r="O180" t="s">
        <v>39</v>
      </c>
      <c r="P180">
        <v>6.21</v>
      </c>
      <c r="Q180">
        <v>7.07</v>
      </c>
    </row>
    <row r="181" spans="1:17" x14ac:dyDescent="0.25">
      <c r="A181" t="s">
        <v>155</v>
      </c>
      <c r="B181" s="1">
        <v>44975</v>
      </c>
      <c r="C181" t="s">
        <v>255</v>
      </c>
      <c r="D181">
        <v>2023</v>
      </c>
      <c r="E181" t="s">
        <v>44</v>
      </c>
      <c r="F181" t="s">
        <v>37</v>
      </c>
      <c r="G181" t="s">
        <v>16</v>
      </c>
      <c r="H181">
        <v>1</v>
      </c>
      <c r="I181">
        <v>145428854</v>
      </c>
      <c r="J181">
        <v>77032177</v>
      </c>
      <c r="K181">
        <v>68396677</v>
      </c>
      <c r="L181" t="s">
        <v>30</v>
      </c>
      <c r="M181" t="s">
        <v>31</v>
      </c>
      <c r="N181" t="s">
        <v>265</v>
      </c>
      <c r="O181" t="s">
        <v>39</v>
      </c>
      <c r="P181">
        <v>12.99</v>
      </c>
      <c r="Q181">
        <v>7.6</v>
      </c>
    </row>
    <row r="182" spans="1:17" x14ac:dyDescent="0.25">
      <c r="A182" t="s">
        <v>160</v>
      </c>
      <c r="B182" s="1">
        <v>45015</v>
      </c>
      <c r="C182" t="s">
        <v>256</v>
      </c>
      <c r="D182">
        <v>2023</v>
      </c>
      <c r="E182" t="s">
        <v>27</v>
      </c>
      <c r="F182" t="s">
        <v>28</v>
      </c>
      <c r="G182" t="s">
        <v>29</v>
      </c>
      <c r="H182">
        <v>39</v>
      </c>
      <c r="I182">
        <v>0</v>
      </c>
      <c r="J182">
        <v>43570500</v>
      </c>
      <c r="K182">
        <v>-43570500</v>
      </c>
      <c r="L182" t="s">
        <v>17</v>
      </c>
      <c r="M182" t="s">
        <v>31</v>
      </c>
      <c r="N182" t="s">
        <v>266</v>
      </c>
      <c r="O182" t="s">
        <v>39</v>
      </c>
      <c r="P182">
        <v>7.73</v>
      </c>
      <c r="Q182">
        <v>8.5399999999999991</v>
      </c>
    </row>
    <row r="183" spans="1:17" x14ac:dyDescent="0.25">
      <c r="A183" t="s">
        <v>161</v>
      </c>
      <c r="B183" s="1">
        <v>45261</v>
      </c>
      <c r="C183" t="s">
        <v>262</v>
      </c>
      <c r="D183">
        <v>2023</v>
      </c>
      <c r="E183" t="s">
        <v>61</v>
      </c>
      <c r="F183" t="s">
        <v>28</v>
      </c>
      <c r="G183" t="s">
        <v>16</v>
      </c>
      <c r="H183">
        <v>10</v>
      </c>
      <c r="I183">
        <v>73972960</v>
      </c>
      <c r="J183">
        <v>98681187</v>
      </c>
      <c r="K183">
        <v>-24708227</v>
      </c>
      <c r="L183" t="s">
        <v>17</v>
      </c>
      <c r="M183" t="s">
        <v>25</v>
      </c>
      <c r="N183" t="s">
        <v>266</v>
      </c>
      <c r="O183" t="s">
        <v>39</v>
      </c>
      <c r="P183">
        <v>9.07</v>
      </c>
      <c r="Q183">
        <v>7.49</v>
      </c>
    </row>
    <row r="184" spans="1:17" x14ac:dyDescent="0.25">
      <c r="A184" t="s">
        <v>170</v>
      </c>
      <c r="B184" s="1">
        <v>45189</v>
      </c>
      <c r="C184" t="s">
        <v>257</v>
      </c>
      <c r="D184">
        <v>2023</v>
      </c>
      <c r="E184" t="s">
        <v>27</v>
      </c>
      <c r="F184" t="s">
        <v>28</v>
      </c>
      <c r="G184" t="s">
        <v>29</v>
      </c>
      <c r="H184">
        <v>35</v>
      </c>
      <c r="I184">
        <v>100723312</v>
      </c>
      <c r="J184">
        <v>24145666</v>
      </c>
      <c r="K184">
        <v>76577646</v>
      </c>
      <c r="L184" t="s">
        <v>30</v>
      </c>
      <c r="M184" t="s">
        <v>18</v>
      </c>
      <c r="N184" t="s">
        <v>265</v>
      </c>
      <c r="O184" t="s">
        <v>39</v>
      </c>
      <c r="P184">
        <v>7.73</v>
      </c>
      <c r="Q184">
        <v>8.5399999999999991</v>
      </c>
    </row>
    <row r="185" spans="1:17" x14ac:dyDescent="0.25">
      <c r="A185" t="s">
        <v>173</v>
      </c>
      <c r="B185" s="1">
        <v>45367</v>
      </c>
      <c r="C185" t="s">
        <v>256</v>
      </c>
      <c r="D185">
        <v>2024</v>
      </c>
      <c r="E185" t="s">
        <v>61</v>
      </c>
      <c r="F185" t="s">
        <v>28</v>
      </c>
      <c r="G185" t="s">
        <v>56</v>
      </c>
      <c r="H185">
        <v>27</v>
      </c>
      <c r="I185">
        <v>128201908</v>
      </c>
      <c r="J185">
        <v>48849357</v>
      </c>
      <c r="K185">
        <v>79352551</v>
      </c>
      <c r="L185" t="s">
        <v>69</v>
      </c>
      <c r="M185" t="s">
        <v>18</v>
      </c>
      <c r="N185" t="s">
        <v>265</v>
      </c>
      <c r="O185" t="s">
        <v>39</v>
      </c>
      <c r="P185">
        <v>9.07</v>
      </c>
      <c r="Q185">
        <v>7.49</v>
      </c>
    </row>
    <row r="186" spans="1:17" x14ac:dyDescent="0.25">
      <c r="A186" t="s">
        <v>179</v>
      </c>
      <c r="B186" s="1">
        <v>45151</v>
      </c>
      <c r="C186" t="s">
        <v>254</v>
      </c>
      <c r="D186">
        <v>2023</v>
      </c>
      <c r="E186" t="s">
        <v>65</v>
      </c>
      <c r="F186" t="s">
        <v>37</v>
      </c>
      <c r="G186" t="s">
        <v>23</v>
      </c>
      <c r="H186">
        <v>7</v>
      </c>
      <c r="I186">
        <v>148818146</v>
      </c>
      <c r="J186">
        <v>44775288</v>
      </c>
      <c r="K186">
        <v>104042858</v>
      </c>
      <c r="L186" t="s">
        <v>30</v>
      </c>
      <c r="M186" t="s">
        <v>25</v>
      </c>
      <c r="N186" t="s">
        <v>265</v>
      </c>
      <c r="O186" t="s">
        <v>39</v>
      </c>
      <c r="P186">
        <v>12.17</v>
      </c>
      <c r="Q186">
        <v>6.66</v>
      </c>
    </row>
    <row r="187" spans="1:17" x14ac:dyDescent="0.25">
      <c r="A187" t="s">
        <v>184</v>
      </c>
      <c r="B187" s="1">
        <v>45359</v>
      </c>
      <c r="C187" t="s">
        <v>256</v>
      </c>
      <c r="D187">
        <v>2024</v>
      </c>
      <c r="E187" t="s">
        <v>49</v>
      </c>
      <c r="F187" t="s">
        <v>50</v>
      </c>
      <c r="G187" t="s">
        <v>29</v>
      </c>
      <c r="H187">
        <v>34</v>
      </c>
      <c r="I187">
        <v>0</v>
      </c>
      <c r="J187">
        <v>74295517</v>
      </c>
      <c r="K187">
        <v>-74295517</v>
      </c>
      <c r="L187" t="s">
        <v>69</v>
      </c>
      <c r="M187" t="s">
        <v>25</v>
      </c>
      <c r="N187" t="s">
        <v>265</v>
      </c>
      <c r="O187" t="s">
        <v>19</v>
      </c>
      <c r="P187">
        <v>7.38</v>
      </c>
      <c r="Q187">
        <v>3.93</v>
      </c>
    </row>
    <row r="188" spans="1:17" x14ac:dyDescent="0.25">
      <c r="A188" t="s">
        <v>185</v>
      </c>
      <c r="B188" s="1">
        <v>45382</v>
      </c>
      <c r="C188" t="s">
        <v>256</v>
      </c>
      <c r="D188">
        <v>2024</v>
      </c>
      <c r="E188" t="s">
        <v>67</v>
      </c>
      <c r="F188" t="s">
        <v>50</v>
      </c>
      <c r="G188" t="s">
        <v>29</v>
      </c>
      <c r="H188">
        <v>25</v>
      </c>
      <c r="I188">
        <v>11180373</v>
      </c>
      <c r="J188">
        <v>73348632</v>
      </c>
      <c r="K188">
        <v>-62168259</v>
      </c>
      <c r="L188" t="s">
        <v>69</v>
      </c>
      <c r="M188" t="s">
        <v>34</v>
      </c>
      <c r="N188" t="s">
        <v>265</v>
      </c>
      <c r="O188" t="s">
        <v>39</v>
      </c>
      <c r="P188">
        <v>6.52</v>
      </c>
      <c r="Q188">
        <v>3.37</v>
      </c>
    </row>
    <row r="189" spans="1:17" x14ac:dyDescent="0.25">
      <c r="A189" t="s">
        <v>200</v>
      </c>
      <c r="B189" s="1">
        <v>45156</v>
      </c>
      <c r="C189" t="s">
        <v>254</v>
      </c>
      <c r="D189">
        <v>2023</v>
      </c>
      <c r="E189" t="s">
        <v>65</v>
      </c>
      <c r="F189" t="s">
        <v>37</v>
      </c>
      <c r="G189" t="s">
        <v>29</v>
      </c>
      <c r="H189">
        <v>14</v>
      </c>
      <c r="I189">
        <v>0</v>
      </c>
      <c r="J189">
        <v>30285729</v>
      </c>
      <c r="K189">
        <v>-30285729</v>
      </c>
      <c r="L189" t="s">
        <v>69</v>
      </c>
      <c r="M189" t="s">
        <v>25</v>
      </c>
      <c r="N189" t="s">
        <v>265</v>
      </c>
      <c r="O189" t="s">
        <v>19</v>
      </c>
      <c r="P189">
        <v>12.17</v>
      </c>
      <c r="Q189">
        <v>6.66</v>
      </c>
    </row>
    <row r="190" spans="1:17" x14ac:dyDescent="0.25">
      <c r="A190" t="s">
        <v>209</v>
      </c>
      <c r="B190" s="1">
        <v>44934</v>
      </c>
      <c r="C190" t="s">
        <v>253</v>
      </c>
      <c r="D190">
        <v>2023</v>
      </c>
      <c r="E190" t="s">
        <v>21</v>
      </c>
      <c r="F190" t="s">
        <v>22</v>
      </c>
      <c r="G190" t="s">
        <v>16</v>
      </c>
      <c r="H190">
        <v>29</v>
      </c>
      <c r="I190">
        <v>0</v>
      </c>
      <c r="J190">
        <v>49108899</v>
      </c>
      <c r="K190">
        <v>-49108899</v>
      </c>
      <c r="L190" t="s">
        <v>17</v>
      </c>
      <c r="M190" t="s">
        <v>31</v>
      </c>
      <c r="N190" t="s">
        <v>266</v>
      </c>
      <c r="O190" t="s">
        <v>39</v>
      </c>
      <c r="P190">
        <v>5.7</v>
      </c>
      <c r="Q190">
        <v>5.9</v>
      </c>
    </row>
    <row r="191" spans="1:17" x14ac:dyDescent="0.25">
      <c r="A191" t="s">
        <v>212</v>
      </c>
      <c r="B191" s="1">
        <v>45296</v>
      </c>
      <c r="C191" t="s">
        <v>253</v>
      </c>
      <c r="D191">
        <v>2024</v>
      </c>
      <c r="E191" t="s">
        <v>33</v>
      </c>
      <c r="F191" t="s">
        <v>22</v>
      </c>
      <c r="G191" t="s">
        <v>42</v>
      </c>
      <c r="H191">
        <v>23</v>
      </c>
      <c r="I191">
        <v>0</v>
      </c>
      <c r="J191">
        <v>77323347</v>
      </c>
      <c r="K191">
        <v>-77323347</v>
      </c>
      <c r="L191" t="s">
        <v>17</v>
      </c>
      <c r="M191" t="s">
        <v>31</v>
      </c>
      <c r="N191" t="s">
        <v>266</v>
      </c>
      <c r="O191" t="s">
        <v>19</v>
      </c>
      <c r="P191">
        <v>4.75</v>
      </c>
      <c r="Q191">
        <v>7.01</v>
      </c>
    </row>
    <row r="192" spans="1:17" x14ac:dyDescent="0.25">
      <c r="A192" t="s">
        <v>213</v>
      </c>
      <c r="B192" s="1">
        <v>45052</v>
      </c>
      <c r="C192" t="s">
        <v>259</v>
      </c>
      <c r="D192">
        <v>2023</v>
      </c>
      <c r="E192" t="s">
        <v>27</v>
      </c>
      <c r="F192" t="s">
        <v>28</v>
      </c>
      <c r="G192" t="s">
        <v>42</v>
      </c>
      <c r="H192">
        <v>16</v>
      </c>
      <c r="I192">
        <v>0</v>
      </c>
      <c r="J192">
        <v>40489202</v>
      </c>
      <c r="K192">
        <v>-40489202</v>
      </c>
      <c r="L192" t="s">
        <v>17</v>
      </c>
      <c r="M192" t="s">
        <v>25</v>
      </c>
      <c r="N192" t="s">
        <v>266</v>
      </c>
      <c r="O192" t="s">
        <v>19</v>
      </c>
      <c r="P192">
        <v>7.73</v>
      </c>
      <c r="Q192">
        <v>8.5399999999999991</v>
      </c>
    </row>
    <row r="193" spans="1:17" x14ac:dyDescent="0.25">
      <c r="A193" t="s">
        <v>215</v>
      </c>
      <c r="B193" s="1">
        <v>45006</v>
      </c>
      <c r="C193" t="s">
        <v>256</v>
      </c>
      <c r="D193">
        <v>2023</v>
      </c>
      <c r="E193" t="s">
        <v>54</v>
      </c>
      <c r="F193" t="s">
        <v>55</v>
      </c>
      <c r="G193" t="s">
        <v>47</v>
      </c>
      <c r="H193">
        <v>39</v>
      </c>
      <c r="I193">
        <v>137115873</v>
      </c>
      <c r="J193">
        <v>79313286</v>
      </c>
      <c r="K193">
        <v>57802587</v>
      </c>
      <c r="L193" t="s">
        <v>24</v>
      </c>
      <c r="M193" t="s">
        <v>18</v>
      </c>
      <c r="N193" t="s">
        <v>267</v>
      </c>
      <c r="O193" t="s">
        <v>19</v>
      </c>
      <c r="P193">
        <v>11.83</v>
      </c>
      <c r="Q193">
        <v>13.15</v>
      </c>
    </row>
    <row r="194" spans="1:17" x14ac:dyDescent="0.25">
      <c r="A194" t="s">
        <v>221</v>
      </c>
      <c r="B194" s="1">
        <v>45196</v>
      </c>
      <c r="C194" t="s">
        <v>257</v>
      </c>
      <c r="D194">
        <v>2023</v>
      </c>
      <c r="E194" t="s">
        <v>33</v>
      </c>
      <c r="F194" t="s">
        <v>22</v>
      </c>
      <c r="G194" t="s">
        <v>56</v>
      </c>
      <c r="H194">
        <v>23</v>
      </c>
      <c r="I194">
        <v>0</v>
      </c>
      <c r="J194">
        <v>65790798</v>
      </c>
      <c r="K194">
        <v>-65790798</v>
      </c>
      <c r="L194" t="s">
        <v>24</v>
      </c>
      <c r="M194" t="s">
        <v>34</v>
      </c>
      <c r="N194" t="s">
        <v>267</v>
      </c>
      <c r="O194" t="s">
        <v>19</v>
      </c>
      <c r="P194">
        <v>4.75</v>
      </c>
      <c r="Q194">
        <v>7.01</v>
      </c>
    </row>
    <row r="195" spans="1:17" x14ac:dyDescent="0.25">
      <c r="A195" t="s">
        <v>228</v>
      </c>
      <c r="B195" s="1">
        <v>45349</v>
      </c>
      <c r="C195" t="s">
        <v>255</v>
      </c>
      <c r="D195">
        <v>2024</v>
      </c>
      <c r="E195" t="s">
        <v>14</v>
      </c>
      <c r="F195" t="s">
        <v>15</v>
      </c>
      <c r="G195" t="s">
        <v>29</v>
      </c>
      <c r="H195">
        <v>27</v>
      </c>
      <c r="I195">
        <v>0</v>
      </c>
      <c r="J195">
        <v>36989778</v>
      </c>
      <c r="K195">
        <v>-36989778</v>
      </c>
      <c r="L195" t="s">
        <v>69</v>
      </c>
      <c r="M195" t="s">
        <v>34</v>
      </c>
      <c r="N195" t="s">
        <v>265</v>
      </c>
      <c r="O195" t="s">
        <v>19</v>
      </c>
      <c r="P195">
        <v>6.21</v>
      </c>
      <c r="Q195">
        <v>7.07</v>
      </c>
    </row>
    <row r="196" spans="1:17" x14ac:dyDescent="0.25">
      <c r="A196" t="s">
        <v>230</v>
      </c>
      <c r="B196" s="1">
        <v>45367</v>
      </c>
      <c r="C196" t="s">
        <v>256</v>
      </c>
      <c r="D196">
        <v>2024</v>
      </c>
      <c r="E196" t="s">
        <v>67</v>
      </c>
      <c r="F196" t="s">
        <v>50</v>
      </c>
      <c r="G196" t="s">
        <v>23</v>
      </c>
      <c r="H196">
        <v>31</v>
      </c>
      <c r="I196">
        <v>144315130</v>
      </c>
      <c r="J196">
        <v>10059226</v>
      </c>
      <c r="K196">
        <v>134255904</v>
      </c>
      <c r="L196" t="s">
        <v>24</v>
      </c>
      <c r="M196" t="s">
        <v>18</v>
      </c>
      <c r="N196" t="s">
        <v>267</v>
      </c>
      <c r="O196" t="s">
        <v>39</v>
      </c>
      <c r="P196">
        <v>6.52</v>
      </c>
      <c r="Q196">
        <v>3.37</v>
      </c>
    </row>
    <row r="197" spans="1:17" x14ac:dyDescent="0.25">
      <c r="A197" t="s">
        <v>235</v>
      </c>
      <c r="B197" s="1">
        <v>45184</v>
      </c>
      <c r="C197" t="s">
        <v>257</v>
      </c>
      <c r="D197">
        <v>2023</v>
      </c>
      <c r="E197" t="s">
        <v>33</v>
      </c>
      <c r="F197" t="s">
        <v>22</v>
      </c>
      <c r="G197" t="s">
        <v>29</v>
      </c>
      <c r="H197">
        <v>26</v>
      </c>
      <c r="I197">
        <v>17821350</v>
      </c>
      <c r="J197">
        <v>64904546</v>
      </c>
      <c r="K197">
        <v>-47083196</v>
      </c>
      <c r="L197" t="s">
        <v>69</v>
      </c>
      <c r="M197" t="s">
        <v>18</v>
      </c>
      <c r="N197" t="s">
        <v>265</v>
      </c>
      <c r="O197" t="s">
        <v>39</v>
      </c>
      <c r="P197">
        <v>4.75</v>
      </c>
      <c r="Q197">
        <v>7.01</v>
      </c>
    </row>
    <row r="198" spans="1:17" x14ac:dyDescent="0.25">
      <c r="A198" t="s">
        <v>236</v>
      </c>
      <c r="B198" s="1">
        <v>44997</v>
      </c>
      <c r="C198" t="s">
        <v>256</v>
      </c>
      <c r="D198">
        <v>2023</v>
      </c>
      <c r="E198" t="s">
        <v>27</v>
      </c>
      <c r="F198" t="s">
        <v>28</v>
      </c>
      <c r="G198" t="s">
        <v>47</v>
      </c>
      <c r="H198">
        <v>40</v>
      </c>
      <c r="I198">
        <v>0</v>
      </c>
      <c r="J198">
        <v>10528032</v>
      </c>
      <c r="K198">
        <v>-10528032</v>
      </c>
      <c r="L198" t="s">
        <v>69</v>
      </c>
      <c r="M198" t="s">
        <v>34</v>
      </c>
      <c r="N198" t="s">
        <v>265</v>
      </c>
      <c r="O198" t="s">
        <v>39</v>
      </c>
      <c r="P198">
        <v>7.73</v>
      </c>
      <c r="Q198">
        <v>8.5399999999999991</v>
      </c>
    </row>
    <row r="199" spans="1:17" x14ac:dyDescent="0.25">
      <c r="A199" t="s">
        <v>240</v>
      </c>
      <c r="B199" s="1">
        <v>45212</v>
      </c>
      <c r="C199" t="s">
        <v>251</v>
      </c>
      <c r="D199">
        <v>2023</v>
      </c>
      <c r="E199" t="s">
        <v>44</v>
      </c>
      <c r="F199" t="s">
        <v>37</v>
      </c>
      <c r="G199" t="s">
        <v>29</v>
      </c>
      <c r="H199">
        <v>10</v>
      </c>
      <c r="I199">
        <v>0</v>
      </c>
      <c r="J199">
        <v>78900046</v>
      </c>
      <c r="K199">
        <v>-78900046</v>
      </c>
      <c r="L199" t="s">
        <v>24</v>
      </c>
      <c r="M199" t="s">
        <v>25</v>
      </c>
      <c r="N199" t="s">
        <v>267</v>
      </c>
      <c r="O199" t="s">
        <v>19</v>
      </c>
      <c r="P199">
        <v>12.99</v>
      </c>
      <c r="Q199">
        <v>7.6</v>
      </c>
    </row>
    <row r="200" spans="1:17" x14ac:dyDescent="0.25">
      <c r="A200" t="s">
        <v>241</v>
      </c>
      <c r="B200" s="1">
        <v>45057</v>
      </c>
      <c r="C200" t="s">
        <v>259</v>
      </c>
      <c r="D200">
        <v>2023</v>
      </c>
      <c r="E200" t="s">
        <v>54</v>
      </c>
      <c r="F200" t="s">
        <v>55</v>
      </c>
      <c r="G200" t="s">
        <v>47</v>
      </c>
      <c r="H200">
        <v>37</v>
      </c>
      <c r="I200">
        <v>104511115</v>
      </c>
      <c r="J200">
        <v>88701613</v>
      </c>
      <c r="K200">
        <v>15809502</v>
      </c>
      <c r="L200" t="s">
        <v>24</v>
      </c>
      <c r="M200" t="s">
        <v>25</v>
      </c>
      <c r="N200" t="s">
        <v>267</v>
      </c>
      <c r="O200" t="s">
        <v>39</v>
      </c>
      <c r="P200">
        <v>11.83</v>
      </c>
      <c r="Q200">
        <v>13.15</v>
      </c>
    </row>
    <row r="201" spans="1:17" x14ac:dyDescent="0.25">
      <c r="A201" t="s">
        <v>247</v>
      </c>
      <c r="B201" s="1">
        <v>45197</v>
      </c>
      <c r="C201" t="s">
        <v>257</v>
      </c>
      <c r="D201">
        <v>2023</v>
      </c>
      <c r="E201" t="s">
        <v>44</v>
      </c>
      <c r="F201" t="s">
        <v>37</v>
      </c>
      <c r="G201" t="s">
        <v>42</v>
      </c>
      <c r="H201">
        <v>4</v>
      </c>
      <c r="I201">
        <v>147203339</v>
      </c>
      <c r="J201">
        <v>95400710</v>
      </c>
      <c r="K201">
        <v>51802629</v>
      </c>
      <c r="L201" t="s">
        <v>24</v>
      </c>
      <c r="M201" t="s">
        <v>25</v>
      </c>
      <c r="N201" t="s">
        <v>267</v>
      </c>
      <c r="O201" t="s">
        <v>39</v>
      </c>
      <c r="P201">
        <v>12.99</v>
      </c>
      <c r="Q201">
        <v>7.6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7B23-BAC7-4999-8853-9845316AAE5C}">
  <dimension ref="A1:B32"/>
  <sheetViews>
    <sheetView topLeftCell="A25" zoomScale="64" zoomScaleNormal="64" workbookViewId="0">
      <selection activeCell="O42" sqref="O42"/>
    </sheetView>
  </sheetViews>
  <sheetFormatPr defaultRowHeight="15" x14ac:dyDescent="0.25"/>
  <cols>
    <col min="1" max="1" width="13.140625" bestFit="1" customWidth="1"/>
    <col min="2" max="2" width="26.28515625" bestFit="1" customWidth="1"/>
  </cols>
  <sheetData>
    <row r="1" spans="1:2" x14ac:dyDescent="0.25">
      <c r="A1" s="2" t="s">
        <v>268</v>
      </c>
      <c r="B1" t="s">
        <v>273</v>
      </c>
    </row>
    <row r="2" spans="1:2" x14ac:dyDescent="0.25">
      <c r="A2" s="3" t="s">
        <v>61</v>
      </c>
      <c r="B2">
        <v>25</v>
      </c>
    </row>
    <row r="3" spans="1:2" x14ac:dyDescent="0.25">
      <c r="A3" s="3" t="s">
        <v>14</v>
      </c>
      <c r="B3">
        <v>16</v>
      </c>
    </row>
    <row r="4" spans="1:2" x14ac:dyDescent="0.25">
      <c r="A4" s="3" t="s">
        <v>27</v>
      </c>
      <c r="B4">
        <v>11</v>
      </c>
    </row>
    <row r="5" spans="1:2" x14ac:dyDescent="0.25">
      <c r="A5" s="3" t="s">
        <v>54</v>
      </c>
      <c r="B5">
        <v>14</v>
      </c>
    </row>
    <row r="6" spans="1:2" x14ac:dyDescent="0.25">
      <c r="A6" s="3" t="s">
        <v>21</v>
      </c>
      <c r="B6">
        <v>9</v>
      </c>
    </row>
    <row r="7" spans="1:2" x14ac:dyDescent="0.25">
      <c r="A7" s="3" t="s">
        <v>36</v>
      </c>
      <c r="B7">
        <v>23</v>
      </c>
    </row>
    <row r="8" spans="1:2" x14ac:dyDescent="0.25">
      <c r="A8" s="3" t="s">
        <v>52</v>
      </c>
      <c r="B8">
        <v>13</v>
      </c>
    </row>
    <row r="9" spans="1:2" x14ac:dyDescent="0.25">
      <c r="A9" s="3" t="s">
        <v>44</v>
      </c>
      <c r="B9">
        <v>16</v>
      </c>
    </row>
    <row r="10" spans="1:2" x14ac:dyDescent="0.25">
      <c r="A10" s="3" t="s">
        <v>67</v>
      </c>
      <c r="B10">
        <v>10</v>
      </c>
    </row>
    <row r="11" spans="1:2" x14ac:dyDescent="0.25">
      <c r="A11" s="3" t="s">
        <v>58</v>
      </c>
      <c r="B11">
        <v>12</v>
      </c>
    </row>
    <row r="12" spans="1:2" x14ac:dyDescent="0.25">
      <c r="A12" s="3" t="s">
        <v>49</v>
      </c>
      <c r="B12">
        <v>14</v>
      </c>
    </row>
    <row r="13" spans="1:2" x14ac:dyDescent="0.25">
      <c r="A13" s="3" t="s">
        <v>33</v>
      </c>
      <c r="B13">
        <v>14</v>
      </c>
    </row>
    <row r="14" spans="1:2" x14ac:dyDescent="0.25">
      <c r="A14" s="3" t="s">
        <v>65</v>
      </c>
      <c r="B14">
        <v>23</v>
      </c>
    </row>
    <row r="15" spans="1:2" x14ac:dyDescent="0.25">
      <c r="A15" s="3" t="s">
        <v>269</v>
      </c>
      <c r="B15">
        <v>200</v>
      </c>
    </row>
    <row r="19" spans="1:2" x14ac:dyDescent="0.25">
      <c r="A19" s="3" t="s">
        <v>61</v>
      </c>
      <c r="B19">
        <v>25</v>
      </c>
    </row>
    <row r="20" spans="1:2" x14ac:dyDescent="0.25">
      <c r="A20" s="3" t="s">
        <v>14</v>
      </c>
      <c r="B20">
        <v>16</v>
      </c>
    </row>
    <row r="21" spans="1:2" x14ac:dyDescent="0.25">
      <c r="A21" s="3" t="s">
        <v>27</v>
      </c>
      <c r="B21">
        <v>11</v>
      </c>
    </row>
    <row r="22" spans="1:2" x14ac:dyDescent="0.25">
      <c r="A22" s="3" t="s">
        <v>54</v>
      </c>
      <c r="B22">
        <v>14</v>
      </c>
    </row>
    <row r="23" spans="1:2" x14ac:dyDescent="0.25">
      <c r="A23" s="3" t="s">
        <v>21</v>
      </c>
      <c r="B23">
        <v>9</v>
      </c>
    </row>
    <row r="24" spans="1:2" x14ac:dyDescent="0.25">
      <c r="A24" s="3" t="s">
        <v>36</v>
      </c>
      <c r="B24">
        <v>23</v>
      </c>
    </row>
    <row r="25" spans="1:2" x14ac:dyDescent="0.25">
      <c r="A25" s="3" t="s">
        <v>52</v>
      </c>
      <c r="B25">
        <v>13</v>
      </c>
    </row>
    <row r="26" spans="1:2" x14ac:dyDescent="0.25">
      <c r="A26" s="3" t="s">
        <v>44</v>
      </c>
      <c r="B26">
        <v>16</v>
      </c>
    </row>
    <row r="27" spans="1:2" x14ac:dyDescent="0.25">
      <c r="A27" s="3" t="s">
        <v>67</v>
      </c>
      <c r="B27">
        <v>10</v>
      </c>
    </row>
    <row r="28" spans="1:2" x14ac:dyDescent="0.25">
      <c r="A28" s="3" t="s">
        <v>58</v>
      </c>
      <c r="B28">
        <v>12</v>
      </c>
    </row>
    <row r="29" spans="1:2" x14ac:dyDescent="0.25">
      <c r="A29" s="3" t="s">
        <v>49</v>
      </c>
      <c r="B29">
        <v>14</v>
      </c>
    </row>
    <row r="30" spans="1:2" x14ac:dyDescent="0.25">
      <c r="A30" s="3" t="s">
        <v>33</v>
      </c>
      <c r="B30">
        <v>14</v>
      </c>
    </row>
    <row r="31" spans="1:2" x14ac:dyDescent="0.25">
      <c r="A31" s="3" t="s">
        <v>65</v>
      </c>
      <c r="B31">
        <v>23</v>
      </c>
    </row>
    <row r="32" spans="1:2" x14ac:dyDescent="0.25">
      <c r="A32" s="3" t="s">
        <v>65</v>
      </c>
      <c r="B32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DCB48-4A54-4699-BB09-59AEFF8EEA5D}">
  <dimension ref="A1"/>
  <sheetViews>
    <sheetView showGridLines="0" tabSelected="1" topLeftCell="A63" zoomScale="43" zoomScaleNormal="43" workbookViewId="0">
      <selection activeCell="AK79" sqref="AK79"/>
    </sheetView>
  </sheetViews>
  <sheetFormatPr defaultRowHeight="15" x14ac:dyDescent="0.25"/>
  <cols>
    <col min="1" max="16384" width="9.140625" style="5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81AB0E-CF72-4BA6-99C9-11EE45D753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Pivot table</vt:lpstr>
      <vt:lpstr>Table1_2</vt:lpstr>
      <vt:lpstr>Pivot chart</vt:lpstr>
      <vt:lpstr>Dashboard</vt:lpstr>
      <vt:lpstr>TA</vt:lpstr>
      <vt:lpstr>TD</vt:lpstr>
      <vt:lpstr>TI</vt:lpstr>
      <vt:lpstr>TU</vt:lpstr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Uwa Aighobahi</cp:lastModifiedBy>
  <dcterms:created xsi:type="dcterms:W3CDTF">2026-04-10T16:10:27Z</dcterms:created>
  <dcterms:modified xsi:type="dcterms:W3CDTF">2026-04-21T18:10:22Z</dcterms:modified>
</cp:coreProperties>
</file>