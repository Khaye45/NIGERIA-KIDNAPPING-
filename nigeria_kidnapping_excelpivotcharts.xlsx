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istrator\Documents\nigeriafolder\NIGERIA-KIDNAPPING-\"/>
    </mc:Choice>
  </mc:AlternateContent>
  <xr:revisionPtr revIDLastSave="0" documentId="13_ncr:1_{AF9B8ACF-085E-40EC-9F4B-D5DDB0A4065F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Pivot table" sheetId="6" r:id="rId1"/>
    <sheet name="Table1_2" sheetId="5" r:id="rId2"/>
    <sheet name="Pivot chart" sheetId="7" r:id="rId3"/>
    <sheet name="Dashboard" sheetId="8" r:id="rId4"/>
  </sheets>
  <definedNames>
    <definedName name="_xlchart.v5.0" hidden="1">'Pivot chart'!$A$18</definedName>
    <definedName name="_xlchart.v5.1" hidden="1">'Pivot chart'!$A$19:$A$32</definedName>
    <definedName name="_xlchart.v5.2" hidden="1">'Pivot chart'!$B$18</definedName>
    <definedName name="_xlchart.v5.3" hidden="1">'Pivot chart'!$B$19:$B$32</definedName>
    <definedName name="_xlcn.WorksheetConnection_nigeria_kidnapping_datasetgrp.xlsxTable1_31" hidden="1">Table1_3[]</definedName>
    <definedName name="ExternalData_2" localSheetId="1" hidden="1">Table1_2!$A$1:$Q$201</definedName>
    <definedName name="TA">'Pivot table'!$F$54</definedName>
    <definedName name="TD">'Pivot table'!$G$54</definedName>
    <definedName name="TI">'Pivot table'!$J$56</definedName>
    <definedName name="TU">'Pivot table'!$H$54</definedName>
    <definedName name="TV">'Pivot table'!$J$53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</pivotCaches>
  <extLst>
    <ext xmlns:x15="http://schemas.microsoft.com/office/spreadsheetml/2010/11/main" uri="{FCE2AD5D-F65C-4FA6-A056-5C36A1767C68}">
      <x15:dataModel>
        <x15:modelTables>
          <x15:modelTable id="Table1_2_dfc9de4b-9d33-4cdf-8b3d-7296f3a60b2a" name="Table1_2" connection="Query - Table1_2"/>
          <x15:modelTable id="Table1_3" name="Table1_3" connection="WorksheetConnection_nigeria_kidnapping_dataset grp.xlsx!Table1_3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C345DA-64B2-46C3-8BE7-30FE57C9D632}" keepAlive="1" name="ModelConnection_ExternalData_2" description="Data Model" type="5" refreshedVersion="8" minRefreshableVersion="5" saveData="1">
    <dbPr connection="Data Model Connection" command="Table1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C960E57A-9916-4290-8A00-2EE86AC6B278}" name="Query - Table1_2" description="Connection to the 'Table1_2' query in the workbook." type="100" refreshedVersion="8" minRefreshableVersion="5">
    <extLst>
      <ext xmlns:x15="http://schemas.microsoft.com/office/spreadsheetml/2010/11/main" uri="{DE250136-89BD-433C-8126-D09CA5730AF9}">
        <x15:connection id="eb041d67-c42a-4a9f-9e47-e106ea044248"/>
      </ext>
    </extLst>
  </connection>
  <connection id="3" xr16:uid="{5D9B8FC9-C234-41D3-8158-78A770DFD0A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B1726DFA-0E99-4E4F-9475-2A135B7A30E3}" name="WorksheetConnection_nigeria_kidnapping_dataset grp.xlsx!Table1_3" type="102" refreshedVersion="8" minRefreshableVersion="5">
    <extLst>
      <ext xmlns:x15="http://schemas.microsoft.com/office/spreadsheetml/2010/11/main" uri="{DE250136-89BD-433C-8126-D09CA5730AF9}">
        <x15:connection id="Table1_3" autoDelete="1">
          <x15:rangePr sourceName="_xlcn.WorksheetConnection_nigeria_kidnapping_datasetgrp.xlsxTable1_31"/>
        </x15:connection>
      </ext>
    </extLst>
  </connection>
</connections>
</file>

<file path=xl/sharedStrings.xml><?xml version="1.0" encoding="utf-8"?>
<sst xmlns="http://schemas.openxmlformats.org/spreadsheetml/2006/main" count="1991" uniqueCount="277">
  <si>
    <t>Incident_ID</t>
  </si>
  <si>
    <t>Date</t>
  </si>
  <si>
    <t>State</t>
  </si>
  <si>
    <t>Region</t>
  </si>
  <si>
    <t>Location_Type</t>
  </si>
  <si>
    <t>Victims_Count</t>
  </si>
  <si>
    <t>Ransom_Demanded_NGN</t>
  </si>
  <si>
    <t>Ransom_Paid_NGN</t>
  </si>
  <si>
    <t>Outcome</t>
  </si>
  <si>
    <t>Security_Response</t>
  </si>
  <si>
    <t>Urban_Rural</t>
  </si>
  <si>
    <t>Latitude</t>
  </si>
  <si>
    <t>Longitude</t>
  </si>
  <si>
    <t>INC001</t>
  </si>
  <si>
    <t>Anambra</t>
  </si>
  <si>
    <t>South East</t>
  </si>
  <si>
    <t>Waterway</t>
  </si>
  <si>
    <t>Kidnapped</t>
  </si>
  <si>
    <t>Quick</t>
  </si>
  <si>
    <t>Urban</t>
  </si>
  <si>
    <t>INC002</t>
  </si>
  <si>
    <t>Delta</t>
  </si>
  <si>
    <t>South South</t>
  </si>
  <si>
    <t>School</t>
  </si>
  <si>
    <t>Killed</t>
  </si>
  <si>
    <t>Moderate</t>
  </si>
  <si>
    <t>INC003</t>
  </si>
  <si>
    <t>Benue</t>
  </si>
  <si>
    <t>North Central</t>
  </si>
  <si>
    <t>Market</t>
  </si>
  <si>
    <t>Escaped</t>
  </si>
  <si>
    <t>Delayed</t>
  </si>
  <si>
    <t>INC004</t>
  </si>
  <si>
    <t>Rivers</t>
  </si>
  <si>
    <t>No Response</t>
  </si>
  <si>
    <t>INC005</t>
  </si>
  <si>
    <t>Kaduna</t>
  </si>
  <si>
    <t>North West</t>
  </si>
  <si>
    <t>Village</t>
  </si>
  <si>
    <t>Rural</t>
  </si>
  <si>
    <t>INC006</t>
  </si>
  <si>
    <t>INC007</t>
  </si>
  <si>
    <t>Residential</t>
  </si>
  <si>
    <t>INC008</t>
  </si>
  <si>
    <t>Katsina</t>
  </si>
  <si>
    <t>INC009</t>
  </si>
  <si>
    <t>INC010</t>
  </si>
  <si>
    <t>Road</t>
  </si>
  <si>
    <t>INC011</t>
  </si>
  <si>
    <t>Oyo</t>
  </si>
  <si>
    <t>South West</t>
  </si>
  <si>
    <t>INC012</t>
  </si>
  <si>
    <t>Kano</t>
  </si>
  <si>
    <t>INC013</t>
  </si>
  <si>
    <t>Borno</t>
  </si>
  <si>
    <t>North East</t>
  </si>
  <si>
    <t>Farm</t>
  </si>
  <si>
    <t>INC014</t>
  </si>
  <si>
    <t>Ogun</t>
  </si>
  <si>
    <t>INC015</t>
  </si>
  <si>
    <t>INC016</t>
  </si>
  <si>
    <t>Abuja</t>
  </si>
  <si>
    <t>INC017</t>
  </si>
  <si>
    <t>INC018</t>
  </si>
  <si>
    <t>INC019</t>
  </si>
  <si>
    <t>Zamfara</t>
  </si>
  <si>
    <t>INC020</t>
  </si>
  <si>
    <t>Lagos</t>
  </si>
  <si>
    <t>INC021</t>
  </si>
  <si>
    <t>Released</t>
  </si>
  <si>
    <t>INC022</t>
  </si>
  <si>
    <t>INC023</t>
  </si>
  <si>
    <t>INC024</t>
  </si>
  <si>
    <t>INC025</t>
  </si>
  <si>
    <t>INC026</t>
  </si>
  <si>
    <t>INC027</t>
  </si>
  <si>
    <t>INC028</t>
  </si>
  <si>
    <t>INC029</t>
  </si>
  <si>
    <t>INC030</t>
  </si>
  <si>
    <t>INC031</t>
  </si>
  <si>
    <t>INC032</t>
  </si>
  <si>
    <t>INC033</t>
  </si>
  <si>
    <t>INC034</t>
  </si>
  <si>
    <t>INC035</t>
  </si>
  <si>
    <t>INC036</t>
  </si>
  <si>
    <t>INC037</t>
  </si>
  <si>
    <t>INC038</t>
  </si>
  <si>
    <t>INC039</t>
  </si>
  <si>
    <t>INC040</t>
  </si>
  <si>
    <t>INC041</t>
  </si>
  <si>
    <t>INC042</t>
  </si>
  <si>
    <t>INC043</t>
  </si>
  <si>
    <t>INC044</t>
  </si>
  <si>
    <t>INC045</t>
  </si>
  <si>
    <t>INC046</t>
  </si>
  <si>
    <t>INC047</t>
  </si>
  <si>
    <t>INC048</t>
  </si>
  <si>
    <t>INC049</t>
  </si>
  <si>
    <t>INC050</t>
  </si>
  <si>
    <t>INC051</t>
  </si>
  <si>
    <t>INC052</t>
  </si>
  <si>
    <t>INC053</t>
  </si>
  <si>
    <t>INC054</t>
  </si>
  <si>
    <t>INC055</t>
  </si>
  <si>
    <t>INC056</t>
  </si>
  <si>
    <t>INC057</t>
  </si>
  <si>
    <t>INC058</t>
  </si>
  <si>
    <t>INC059</t>
  </si>
  <si>
    <t>INC060</t>
  </si>
  <si>
    <t>INC061</t>
  </si>
  <si>
    <t>INC062</t>
  </si>
  <si>
    <t>INC063</t>
  </si>
  <si>
    <t>INC064</t>
  </si>
  <si>
    <t>INC065</t>
  </si>
  <si>
    <t>INC066</t>
  </si>
  <si>
    <t>INC067</t>
  </si>
  <si>
    <t>INC068</t>
  </si>
  <si>
    <t>INC069</t>
  </si>
  <si>
    <t>INC070</t>
  </si>
  <si>
    <t>INC071</t>
  </si>
  <si>
    <t>INC072</t>
  </si>
  <si>
    <t>INC073</t>
  </si>
  <si>
    <t>INC074</t>
  </si>
  <si>
    <t>INC075</t>
  </si>
  <si>
    <t>INC076</t>
  </si>
  <si>
    <t>INC077</t>
  </si>
  <si>
    <t>INC078</t>
  </si>
  <si>
    <t>INC079</t>
  </si>
  <si>
    <t>INC080</t>
  </si>
  <si>
    <t>INC081</t>
  </si>
  <si>
    <t>INC082</t>
  </si>
  <si>
    <t>INC083</t>
  </si>
  <si>
    <t>INC084</t>
  </si>
  <si>
    <t>INC085</t>
  </si>
  <si>
    <t>INC086</t>
  </si>
  <si>
    <t>INC087</t>
  </si>
  <si>
    <t>INC088</t>
  </si>
  <si>
    <t>INC089</t>
  </si>
  <si>
    <t>INC090</t>
  </si>
  <si>
    <t>INC091</t>
  </si>
  <si>
    <t>INC092</t>
  </si>
  <si>
    <t>INC093</t>
  </si>
  <si>
    <t>INC094</t>
  </si>
  <si>
    <t>INC095</t>
  </si>
  <si>
    <t>INC096</t>
  </si>
  <si>
    <t>INC097</t>
  </si>
  <si>
    <t>INC098</t>
  </si>
  <si>
    <t>INC099</t>
  </si>
  <si>
    <t>INC100</t>
  </si>
  <si>
    <t>INC101</t>
  </si>
  <si>
    <t>INC102</t>
  </si>
  <si>
    <t>INC103</t>
  </si>
  <si>
    <t>INC104</t>
  </si>
  <si>
    <t>INC105</t>
  </si>
  <si>
    <t>INC106</t>
  </si>
  <si>
    <t>INC107</t>
  </si>
  <si>
    <t>INC108</t>
  </si>
  <si>
    <t>INC109</t>
  </si>
  <si>
    <t>INC110</t>
  </si>
  <si>
    <t>INC111</t>
  </si>
  <si>
    <t>INC112</t>
  </si>
  <si>
    <t>INC113</t>
  </si>
  <si>
    <t>INC114</t>
  </si>
  <si>
    <t>INC115</t>
  </si>
  <si>
    <t>INC116</t>
  </si>
  <si>
    <t>INC117</t>
  </si>
  <si>
    <t>INC118</t>
  </si>
  <si>
    <t>INC119</t>
  </si>
  <si>
    <t>INC120</t>
  </si>
  <si>
    <t>INC121</t>
  </si>
  <si>
    <t>INC122</t>
  </si>
  <si>
    <t>INC123</t>
  </si>
  <si>
    <t>INC124</t>
  </si>
  <si>
    <t>INC125</t>
  </si>
  <si>
    <t>INC126</t>
  </si>
  <si>
    <t>INC127</t>
  </si>
  <si>
    <t>INC128</t>
  </si>
  <si>
    <t>INC129</t>
  </si>
  <si>
    <t>INC130</t>
  </si>
  <si>
    <t>INC131</t>
  </si>
  <si>
    <t>INC132</t>
  </si>
  <si>
    <t>INC133</t>
  </si>
  <si>
    <t>INC134</t>
  </si>
  <si>
    <t>INC135</t>
  </si>
  <si>
    <t>INC136</t>
  </si>
  <si>
    <t>INC137</t>
  </si>
  <si>
    <t>INC138</t>
  </si>
  <si>
    <t>INC139</t>
  </si>
  <si>
    <t>INC140</t>
  </si>
  <si>
    <t>INC141</t>
  </si>
  <si>
    <t>INC142</t>
  </si>
  <si>
    <t>INC143</t>
  </si>
  <si>
    <t>INC144</t>
  </si>
  <si>
    <t>INC145</t>
  </si>
  <si>
    <t>INC146</t>
  </si>
  <si>
    <t>INC147</t>
  </si>
  <si>
    <t>INC148</t>
  </si>
  <si>
    <t>INC149</t>
  </si>
  <si>
    <t>INC150</t>
  </si>
  <si>
    <t>INC151</t>
  </si>
  <si>
    <t>INC152</t>
  </si>
  <si>
    <t>INC153</t>
  </si>
  <si>
    <t>INC154</t>
  </si>
  <si>
    <t>INC155</t>
  </si>
  <si>
    <t>INC156</t>
  </si>
  <si>
    <t>INC157</t>
  </si>
  <si>
    <t>INC158</t>
  </si>
  <si>
    <t>INC159</t>
  </si>
  <si>
    <t>INC160</t>
  </si>
  <si>
    <t>INC161</t>
  </si>
  <si>
    <t>INC162</t>
  </si>
  <si>
    <t>INC163</t>
  </si>
  <si>
    <t>INC164</t>
  </si>
  <si>
    <t>INC165</t>
  </si>
  <si>
    <t>INC166</t>
  </si>
  <si>
    <t>INC167</t>
  </si>
  <si>
    <t>INC168</t>
  </si>
  <si>
    <t>INC169</t>
  </si>
  <si>
    <t>INC170</t>
  </si>
  <si>
    <t>INC171</t>
  </si>
  <si>
    <t>INC172</t>
  </si>
  <si>
    <t>INC173</t>
  </si>
  <si>
    <t>INC174</t>
  </si>
  <si>
    <t>INC175</t>
  </si>
  <si>
    <t>INC176</t>
  </si>
  <si>
    <t>INC177</t>
  </si>
  <si>
    <t>INC178</t>
  </si>
  <si>
    <t>INC179</t>
  </si>
  <si>
    <t>INC180</t>
  </si>
  <si>
    <t>INC181</t>
  </si>
  <si>
    <t>INC182</t>
  </si>
  <si>
    <t>INC183</t>
  </si>
  <si>
    <t>INC184</t>
  </si>
  <si>
    <t>INC185</t>
  </si>
  <si>
    <t>INC186</t>
  </si>
  <si>
    <t>INC187</t>
  </si>
  <si>
    <t>INC188</t>
  </si>
  <si>
    <t>INC189</t>
  </si>
  <si>
    <t>INC190</t>
  </si>
  <si>
    <t>INC191</t>
  </si>
  <si>
    <t>INC192</t>
  </si>
  <si>
    <t>INC193</t>
  </si>
  <si>
    <t>INC194</t>
  </si>
  <si>
    <t>INC195</t>
  </si>
  <si>
    <t>INC196</t>
  </si>
  <si>
    <t>INC197</t>
  </si>
  <si>
    <t>INC198</t>
  </si>
  <si>
    <t>INC199</t>
  </si>
  <si>
    <t>INC200</t>
  </si>
  <si>
    <t>Month</t>
  </si>
  <si>
    <t>Year</t>
  </si>
  <si>
    <t>Oct</t>
  </si>
  <si>
    <t>Jun</t>
  </si>
  <si>
    <t>Jan</t>
  </si>
  <si>
    <t>Aug</t>
  </si>
  <si>
    <t>Feb</t>
  </si>
  <si>
    <t>Mar</t>
  </si>
  <si>
    <t>Sep</t>
  </si>
  <si>
    <t>Apr</t>
  </si>
  <si>
    <t>May</t>
  </si>
  <si>
    <t>Nov</t>
  </si>
  <si>
    <t>Jul</t>
  </si>
  <si>
    <t>Dec</t>
  </si>
  <si>
    <t>Ransom_gap</t>
  </si>
  <si>
    <t>Survival_Flap</t>
  </si>
  <si>
    <t>Alive</t>
  </si>
  <si>
    <t>Unknown</t>
  </si>
  <si>
    <t>Dead</t>
  </si>
  <si>
    <t>Row Labels</t>
  </si>
  <si>
    <t>Grand Total</t>
  </si>
  <si>
    <t>Count of Incident_ID</t>
  </si>
  <si>
    <t>Count of Outcome</t>
  </si>
  <si>
    <t>Column Labels</t>
  </si>
  <si>
    <t>Sum of Count of Incident_ID</t>
  </si>
  <si>
    <t>Average of Ransom_Demanded_NGN</t>
  </si>
  <si>
    <t>Average of Ransom_Paid_NGN</t>
  </si>
  <si>
    <t>Sum of Victims_Count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</si>
</sst>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&gt;=1000000]\₦0.0000,,&quot;M&quot;;[&gt;=1000]\₦0.0000,&quot;K&quot;;\₦0.0000"/>
    <numFmt numFmtId="165" formatCode="[&gt;=1000000]\₦0,,&quot;M&quot;;[&gt;=1000]\₦0,&quot;K&quot;;\₦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165" formatCode="[&gt;=1000000]\₦0,,&quot;M&quot;;[&gt;=1000]\₦0,&quot;K&quot;;\₦0"/>
    </dxf>
    <dxf>
      <numFmt numFmtId="164" formatCode="[&gt;=1000000]\₦0.0000,,&quot;M&quot;;[&gt;=1000]\₦0.0000,&quot;K&quot;;\₦0.0000"/>
    </dxf>
    <dxf>
      <numFmt numFmtId="166" formatCode="[&gt;=1000000]0.0000,,&quot;M&quot;;[&gt;=1000]0.0000,&quot;K&quot;;0.0000"/>
    </dxf>
  </dxfs>
  <tableStyles count="0" defaultTableStyle="TableStyleMedium9" defaultPivotStyle="PivotStyleLight16"/>
  <colors>
    <mruColors>
      <color rgb="FF008B2C"/>
      <color rgb="FF1B7339"/>
      <color rgb="FF0087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table!PivotTable6</c:name>
    <c:fmtId val="4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96178029863945E-2"/>
          <c:y val="2.8237042974951426E-2"/>
          <c:w val="0.83411072032969469"/>
          <c:h val="0.858182711089371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table'!$E$24:$E$25</c:f>
              <c:strCache>
                <c:ptCount val="1"/>
                <c:pt idx="0">
                  <c:v>Escaped</c:v>
                </c:pt>
              </c:strCache>
            </c:strRef>
          </c:tx>
          <c:spPr>
            <a:solidFill>
              <a:schemeClr val="accent3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table'!$E$26:$E$30</c:f>
              <c:numCache>
                <c:formatCode>General</c:formatCode>
                <c:ptCount val="4"/>
                <c:pt idx="0">
                  <c:v>25</c:v>
                </c:pt>
                <c:pt idx="1">
                  <c:v>8</c:v>
                </c:pt>
                <c:pt idx="2">
                  <c:v>7</c:v>
                </c:pt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1-4EC7-A3CF-DC4E976D0264}"/>
            </c:ext>
          </c:extLst>
        </c:ser>
        <c:ser>
          <c:idx val="1"/>
          <c:order val="1"/>
          <c:tx>
            <c:strRef>
              <c:f>'Pivot table'!$F$24:$F$25</c:f>
              <c:strCache>
                <c:ptCount val="1"/>
                <c:pt idx="0">
                  <c:v>Kidnapped</c:v>
                </c:pt>
              </c:strCache>
            </c:strRef>
          </c:tx>
          <c:spPr>
            <a:solidFill>
              <a:schemeClr val="accent3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table'!$F$26:$F$30</c:f>
              <c:numCache>
                <c:formatCode>General</c:formatCode>
                <c:ptCount val="4"/>
                <c:pt idx="0">
                  <c:v>10</c:v>
                </c:pt>
                <c:pt idx="1">
                  <c:v>21</c:v>
                </c:pt>
                <c:pt idx="2">
                  <c:v>5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E1-4EC7-A3CF-DC4E976D0264}"/>
            </c:ext>
          </c:extLst>
        </c:ser>
        <c:ser>
          <c:idx val="2"/>
          <c:order val="2"/>
          <c:tx>
            <c:strRef>
              <c:f>'Pivot table'!$G$24:$G$25</c:f>
              <c:strCache>
                <c:ptCount val="1"/>
                <c:pt idx="0">
                  <c:v>Killed</c:v>
                </c:pt>
              </c:strCache>
            </c:strRef>
          </c:tx>
          <c:spPr>
            <a:solidFill>
              <a:schemeClr val="accent3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table'!$G$26:$G$30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E1-4EC7-A3CF-DC4E976D0264}"/>
            </c:ext>
          </c:extLst>
        </c:ser>
        <c:ser>
          <c:idx val="3"/>
          <c:order val="3"/>
          <c:tx>
            <c:strRef>
              <c:f>'Pivot table'!$H$24:$H$25</c:f>
              <c:strCache>
                <c:ptCount val="1"/>
                <c:pt idx="0">
                  <c:v>Released</c:v>
                </c:pt>
              </c:strCache>
            </c:strRef>
          </c:tx>
          <c:spPr>
            <a:solidFill>
              <a:schemeClr val="accent3">
                <a:tint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table'!$H$26:$H$30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E1-4EC7-A3CF-DC4E976D02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6513712"/>
        <c:axId val="446513232"/>
      </c:barChart>
      <c:catAx>
        <c:axId val="44651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rgbClr val="008B2C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513232"/>
        <c:crosses val="autoZero"/>
        <c:auto val="1"/>
        <c:lblAlgn val="ctr"/>
        <c:lblOffset val="100"/>
        <c:noMultiLvlLbl val="0"/>
      </c:catAx>
      <c:valAx>
        <c:axId val="44651323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4651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16958873292179"/>
          <c:y val="0.21369400383403031"/>
          <c:w val="0.15226023213194864"/>
          <c:h val="0.62314896664913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rgbClr val="1B7339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table!PivotTable21</c:name>
    <c:fmtId val="8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6406761844177817"/>
          <c:y val="7.694605670253038E-2"/>
          <c:w val="0.63059448818897634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table'!$F$57:$F$58</c:f>
              <c:strCache>
                <c:ptCount val="1"/>
                <c:pt idx="0">
                  <c:v>Alive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table'!$F$59:$F$65</c:f>
              <c:numCache>
                <c:formatCode>General</c:formatCode>
                <c:ptCount val="6"/>
                <c:pt idx="0">
                  <c:v>377</c:v>
                </c:pt>
                <c:pt idx="1">
                  <c:v>98</c:v>
                </c:pt>
                <c:pt idx="2">
                  <c:v>699</c:v>
                </c:pt>
                <c:pt idx="3">
                  <c:v>83</c:v>
                </c:pt>
                <c:pt idx="4">
                  <c:v>197</c:v>
                </c:pt>
                <c:pt idx="5">
                  <c:v>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0-497D-A093-421D21F608F1}"/>
            </c:ext>
          </c:extLst>
        </c:ser>
        <c:ser>
          <c:idx val="1"/>
          <c:order val="1"/>
          <c:tx>
            <c:strRef>
              <c:f>'Pivot table'!$G$57:$G$58</c:f>
              <c:strCache>
                <c:ptCount val="1"/>
                <c:pt idx="0">
                  <c:v>Dead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table'!$G$59:$G$65</c:f>
              <c:numCache>
                <c:formatCode>General</c:formatCode>
                <c:ptCount val="6"/>
                <c:pt idx="0">
                  <c:v>179</c:v>
                </c:pt>
                <c:pt idx="1">
                  <c:v>155</c:v>
                </c:pt>
                <c:pt idx="2">
                  <c:v>428</c:v>
                </c:pt>
                <c:pt idx="3">
                  <c:v>85</c:v>
                </c:pt>
                <c:pt idx="4">
                  <c:v>160</c:v>
                </c:pt>
                <c:pt idx="5">
                  <c:v>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60-497D-A093-421D21F608F1}"/>
            </c:ext>
          </c:extLst>
        </c:ser>
        <c:ser>
          <c:idx val="2"/>
          <c:order val="2"/>
          <c:tx>
            <c:strRef>
              <c:f>'Pivot table'!$H$57:$H$58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table'!$H$59:$H$65</c:f>
              <c:numCache>
                <c:formatCode>General</c:formatCode>
                <c:ptCount val="6"/>
                <c:pt idx="0">
                  <c:v>255</c:v>
                </c:pt>
                <c:pt idx="1">
                  <c:v>94</c:v>
                </c:pt>
                <c:pt idx="2">
                  <c:v>317</c:v>
                </c:pt>
                <c:pt idx="3">
                  <c:v>158</c:v>
                </c:pt>
                <c:pt idx="4">
                  <c:v>156</c:v>
                </c:pt>
                <c:pt idx="5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60-497D-A093-421D21F60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11464480"/>
        <c:axId val="2011464960"/>
      </c:barChart>
      <c:catAx>
        <c:axId val="201146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4960"/>
        <c:crosses val="autoZero"/>
        <c:auto val="1"/>
        <c:lblAlgn val="ctr"/>
        <c:lblOffset val="100"/>
        <c:noMultiLvlLbl val="0"/>
      </c:catAx>
      <c:valAx>
        <c:axId val="2011464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146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80193071120788"/>
          <c:y val="0.19983422377045484"/>
          <c:w val="0.17442255922323557"/>
          <c:h val="0.61278438042768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rgbClr val="008B2C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table!PivotTable3</c:name>
    <c:fmtId val="5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11111111111109E-2"/>
          <c:y val="5.5555555555555552E-2"/>
          <c:w val="0.93888888888888888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table'!$E$13</c:f>
              <c:strCache>
                <c:ptCount val="1"/>
                <c:pt idx="0">
                  <c:v>Average of Ransom_Demanded_NGN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table'!$D$14:$D$20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table'!$E$14:$E$20</c:f>
              <c:numCache>
                <c:formatCode>[&gt;=1000000]\₦0,,"M";[&gt;=1000]\₦0,"K";\₦0</c:formatCode>
                <c:ptCount val="6"/>
                <c:pt idx="0">
                  <c:v>38299281.305555552</c:v>
                </c:pt>
                <c:pt idx="1">
                  <c:v>59107514.714285716</c:v>
                </c:pt>
                <c:pt idx="2">
                  <c:v>37960950.826666668</c:v>
                </c:pt>
                <c:pt idx="3">
                  <c:v>34256171</c:v>
                </c:pt>
                <c:pt idx="4">
                  <c:v>32143816.260869566</c:v>
                </c:pt>
                <c:pt idx="5">
                  <c:v>37721681.611111112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6-42CD-8A6F-2E1E94925751}"/>
            </c:ext>
          </c:extLst>
        </c:ser>
        <c:ser>
          <c:idx val="1"/>
          <c:order val="1"/>
          <c:tx>
            <c:strRef>
              <c:f>'Pivot table'!$F$13</c:f>
              <c:strCache>
                <c:ptCount val="1"/>
                <c:pt idx="0">
                  <c:v>Average of Ransom_Paid_NGN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table'!$D$14:$D$20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table'!$F$14:$F$20</c:f>
              <c:numCache>
                <c:formatCode>[&gt;=1000000]\₦0,,"M";[&gt;=1000]\₦0,"K";\₦0</c:formatCode>
                <c:ptCount val="6"/>
                <c:pt idx="0">
                  <c:v>21673400.472222224</c:v>
                </c:pt>
                <c:pt idx="1">
                  <c:v>18463770.571428571</c:v>
                </c:pt>
                <c:pt idx="2">
                  <c:v>12623663.48</c:v>
                </c:pt>
                <c:pt idx="3">
                  <c:v>9995479.875</c:v>
                </c:pt>
                <c:pt idx="4">
                  <c:v>20760651.869565219</c:v>
                </c:pt>
                <c:pt idx="5">
                  <c:v>12920803.138888888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96-42CD-8A6F-2E1E949257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66817216"/>
        <c:axId val="1466821536"/>
      </c:barChart>
      <c:catAx>
        <c:axId val="14668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1466821536"/>
        <c:crosses val="autoZero"/>
        <c:auto val="1"/>
        <c:lblAlgn val="ctr"/>
        <c:lblOffset val="100"/>
        <c:noMultiLvlLbl val="0"/>
      </c:catAx>
      <c:valAx>
        <c:axId val="1466821536"/>
        <c:scaling>
          <c:orientation val="minMax"/>
        </c:scaling>
        <c:delete val="1"/>
        <c:axPos val="l"/>
        <c:numFmt formatCode="[&gt;=1000000]\₦0,,&quot;M&quot;;[&gt;=1000]\₦0,&quot;K&quot;;\₦0" sourceLinked="1"/>
        <c:majorTickMark val="none"/>
        <c:minorTickMark val="none"/>
        <c:tickLblPos val="nextTo"/>
        <c:crossAx val="146681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table!PivotTable4</c:name>
    <c:fmtId val="4"/>
  </c:pivotSource>
  <c:chart>
    <c:autoTitleDeleted val="1"/>
    <c:pivotFmts>
      <c:pivotFmt>
        <c:idx val="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3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table'!$B$24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DD-4E0E-A18A-01D3939607D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DD-4E0E-A18A-01D3939607D4}"/>
              </c:ext>
            </c:extLst>
          </c:dPt>
          <c:cat>
            <c:strRef>
              <c:f>'Pivot table'!$A$25:$A$27</c:f>
              <c:strCache>
                <c:ptCount val="2"/>
                <c:pt idx="0">
                  <c:v>Rural</c:v>
                </c:pt>
                <c:pt idx="1">
                  <c:v>Urban</c:v>
                </c:pt>
              </c:strCache>
            </c:strRef>
          </c:cat>
          <c:val>
            <c:numRef>
              <c:f>'Pivot table'!$B$25:$B$27</c:f>
              <c:numCache>
                <c:formatCode>General</c:formatCode>
                <c:ptCount val="2"/>
                <c:pt idx="0">
                  <c:v>118</c:v>
                </c:pt>
                <c:pt idx="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DD-4E0E-A18A-01D393960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6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260072420676249"/>
          <c:y val="0.31349498289034683"/>
          <c:w val="0.18906597402400641"/>
          <c:h val="0.56931743926777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rgbClr val="1B7339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table!PivotTable19</c:name>
    <c:fmtId val="10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table'!$A$53:$A$60</c:f>
              <c:strCache>
                <c:ptCount val="7"/>
                <c:pt idx="0">
                  <c:v>Market</c:v>
                </c:pt>
                <c:pt idx="1">
                  <c:v>School</c:v>
                </c:pt>
                <c:pt idx="2">
                  <c:v>Road</c:v>
                </c:pt>
                <c:pt idx="3">
                  <c:v>Farm</c:v>
                </c:pt>
                <c:pt idx="4">
                  <c:v>Waterway</c:v>
                </c:pt>
                <c:pt idx="5">
                  <c:v>Residential</c:v>
                </c:pt>
                <c:pt idx="6">
                  <c:v>Village</c:v>
                </c:pt>
              </c:strCache>
            </c:strRef>
          </c:cat>
          <c:val>
            <c:numRef>
              <c:f>'Pivot table'!$B$53:$B$60</c:f>
              <c:numCache>
                <c:formatCode>General</c:formatCode>
                <c:ptCount val="7"/>
                <c:pt idx="0">
                  <c:v>34</c:v>
                </c:pt>
                <c:pt idx="1">
                  <c:v>33</c:v>
                </c:pt>
                <c:pt idx="2">
                  <c:v>33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A-4E65-B4F4-81174735B9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11463040"/>
        <c:axId val="2011466400"/>
      </c:barChart>
      <c:catAx>
        <c:axId val="2011463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2011466400"/>
        <c:crosses val="autoZero"/>
        <c:auto val="1"/>
        <c:lblAlgn val="ctr"/>
        <c:lblOffset val="100"/>
        <c:noMultiLvlLbl val="0"/>
      </c:catAx>
      <c:valAx>
        <c:axId val="20114664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146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table!PivotTable7</c:name>
    <c:fmtId val="7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53975" cap="rnd">
            <a:solidFill>
              <a:srgbClr val="1B7339"/>
            </a:solidFill>
            <a:round/>
          </a:ln>
          <a:effectLst/>
        </c:spPr>
        <c:marker>
          <c:symbol val="circle"/>
          <c:size val="5"/>
          <c:spPr>
            <a:solidFill>
              <a:srgbClr val="92D050"/>
            </a:solidFill>
            <a:ln w="63500">
              <a:solidFill>
                <a:srgbClr val="92D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50800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50000"/>
              </a:schemeClr>
            </a:solidFill>
            <a:ln w="63500">
              <a:solidFill>
                <a:schemeClr val="accent3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189945478340228E-2"/>
          <c:y val="0.14624989923727416"/>
          <c:w val="0.85557157248758375"/>
          <c:h val="0.6879797425336421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table'!$E$33:$E$34</c:f>
              <c:strCache>
                <c:ptCount val="1"/>
                <c:pt idx="0">
                  <c:v>2023</c:v>
                </c:pt>
              </c:strCache>
            </c:strRef>
          </c:tx>
          <c:spPr>
            <a:ln w="53975" cap="rnd">
              <a:solidFill>
                <a:srgbClr val="1B7339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63500">
                <a:solidFill>
                  <a:srgbClr val="92D050"/>
                </a:solidFill>
              </a:ln>
              <a:effectLst/>
            </c:spPr>
          </c:marker>
          <c:cat>
            <c:strRef>
              <c:f>'Pivot table'!$D$35:$D$47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table'!$E$35:$E$47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18</c:v>
                </c:pt>
                <c:pt idx="3">
                  <c:v>7</c:v>
                </c:pt>
                <c:pt idx="4">
                  <c:v>14</c:v>
                </c:pt>
                <c:pt idx="5">
                  <c:v>6</c:v>
                </c:pt>
                <c:pt idx="6">
                  <c:v>10</c:v>
                </c:pt>
                <c:pt idx="7">
                  <c:v>14</c:v>
                </c:pt>
                <c:pt idx="8">
                  <c:v>16</c:v>
                </c:pt>
                <c:pt idx="9">
                  <c:v>13</c:v>
                </c:pt>
                <c:pt idx="10">
                  <c:v>11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4B-41D6-81A2-D463D97EF376}"/>
            </c:ext>
          </c:extLst>
        </c:ser>
        <c:ser>
          <c:idx val="1"/>
          <c:order val="1"/>
          <c:tx>
            <c:strRef>
              <c:f>'Pivot table'!$F$33:$F$34</c:f>
              <c:strCache>
                <c:ptCount val="1"/>
                <c:pt idx="0">
                  <c:v>2024</c:v>
                </c:pt>
              </c:strCache>
            </c:strRef>
          </c:tx>
          <c:spPr>
            <a:ln w="50800" cap="rnd">
              <a:solidFill>
                <a:schemeClr val="accent3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63500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'Pivot table'!$D$35:$D$47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table'!$F$35:$F$47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94B-41D6-81A2-D463D97EF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9431920"/>
        <c:axId val="1829416560"/>
      </c:lineChart>
      <c:catAx>
        <c:axId val="182943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1829416560"/>
        <c:crosses val="autoZero"/>
        <c:auto val="1"/>
        <c:lblAlgn val="ctr"/>
        <c:lblOffset val="100"/>
        <c:noMultiLvlLbl val="0"/>
      </c:catAx>
      <c:valAx>
        <c:axId val="1829416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294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323004337519993"/>
          <c:y val="0.23185958876196786"/>
          <c:w val="0.10814647669224965"/>
          <c:h val="0.527470957202735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008B2C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[nigeria_kidnapping_excelpivotcharts.xlsx]Pivot table!PivotTable2</c:name>
    <c:fmtId val="6"/>
  </c:pivotSource>
  <c:chart>
    <c:autoTitleDeleted val="1"/>
    <c:pivotFmts>
      <c:pivotFmt>
        <c:idx val="0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table'!$E$3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3">
                      <a:tint val="5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5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38-4BD6-8FCB-3F4266EC0E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tint val="7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7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038-4BD6-8FCB-3F4266EC0E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9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9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9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38-4BD6-8FCB-3F4266EC0E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3">
                      <a:shade val="9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9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9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38-4BD6-8FCB-3F4266EC0E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shade val="7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7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38-4BD6-8FCB-3F4266EC0EE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3">
                      <a:shade val="5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5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38-4BD6-8FCB-3F4266EC0EE8}"/>
              </c:ext>
            </c:extLst>
          </c:dPt>
          <c:dLbls>
            <c:dLbl>
              <c:idx val="0"/>
              <c:layout>
                <c:manualLayout>
                  <c:x val="0.17222222222222211"/>
                  <c:y val="-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38-4BD6-8FCB-3F4266EC0EE8}"/>
                </c:ext>
              </c:extLst>
            </c:dLbl>
            <c:dLbl>
              <c:idx val="1"/>
              <c:layout>
                <c:manualLayout>
                  <c:x val="0.10277777777777777"/>
                  <c:y val="-7.40740740740740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38-4BD6-8FCB-3F4266EC0EE8}"/>
                </c:ext>
              </c:extLst>
            </c:dLbl>
            <c:dLbl>
              <c:idx val="2"/>
              <c:layout>
                <c:manualLayout>
                  <c:x val="0.2138888888888888"/>
                  <c:y val="5.092592592592575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038-4BD6-8FCB-3F4266EC0EE8}"/>
                </c:ext>
              </c:extLst>
            </c:dLbl>
            <c:dLbl>
              <c:idx val="3"/>
              <c:layout>
                <c:manualLayout>
                  <c:x val="-0.10000000000000002"/>
                  <c:y val="0.1481481481481481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38-4BD6-8FCB-3F4266EC0EE8}"/>
                </c:ext>
              </c:extLst>
            </c:dLbl>
            <c:dLbl>
              <c:idx val="4"/>
              <c:layout>
                <c:manualLayout>
                  <c:x val="-0.11944444444444445"/>
                  <c:y val="-2.777777777777777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38-4BD6-8FCB-3F4266EC0EE8}"/>
                </c:ext>
              </c:extLst>
            </c:dLbl>
            <c:dLbl>
              <c:idx val="5"/>
              <c:layout>
                <c:manualLayout>
                  <c:x val="-0.15277777777777779"/>
                  <c:y val="-8.33333333333333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38-4BD6-8FCB-3F4266EC0EE8}"/>
                </c:ext>
              </c:extLst>
            </c:dLbl>
            <c:spPr>
              <a:noFill/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table'!$D$4:$D$10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table'!$E$4:$E$10</c:f>
              <c:numCache>
                <c:formatCode>General</c:formatCode>
                <c:ptCount val="6"/>
                <c:pt idx="0">
                  <c:v>36</c:v>
                </c:pt>
                <c:pt idx="1">
                  <c:v>14</c:v>
                </c:pt>
                <c:pt idx="2">
                  <c:v>75</c:v>
                </c:pt>
                <c:pt idx="3">
                  <c:v>16</c:v>
                </c:pt>
                <c:pt idx="4">
                  <c:v>23</c:v>
                </c:pt>
                <c:pt idx="5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38-4BD6-8FCB-3F4266EC0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86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679089776389443"/>
          <c:y val="5.9884806065908409E-2"/>
          <c:w val="0.18235194427158113"/>
          <c:h val="0.88023038786818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008B2C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2BEE109D-56EF-4633-9808-6CDA383D32A8}">
          <cx:dataLabels>
            <cx:visibility seriesName="0" categoryName="0" value="1"/>
          </cx:dataLabels>
          <cx:dataId val="0"/>
          <cx:layoutPr>
            <cx:geography cultureLanguage="en-US" cultureRegion="TH" attribution="Powered by Bing">
              <cx:geoCache provider="{E9337A44-BEBE-4D9F-B70C-5C5E7DAFC167}">
                <cx:binary>5Hvbct24kuWvVNTzUAUQ9xPndESD3Ft3yZbvfmHIsgyCBAleAN6+vlOW7ZJUPjVdnuqI8YweZG+B
2ASRyJUrVyb/ebP848bdXg+/LI1rx3/cLP/6tQyh+8dvv4035W1zPR409mbwo/8UDm5885v/9Mne
3P72cbiebWt+SxGmv92U10O4XX79j3/Ct5lbf+ZvroP17fN4O6xXt2N0YfyTse8O/XL9sbFtbscw
2JuA//Xrf36I1fWvv9y2wYb15drd/uvXR5f8+stv//HP3/7tAr57k/u1fXfoj/dvr5sPw/92BY8X
8IfH/sXBzoT4EVbPD1IsCSZcqvsf/usvzrfm27BiBEuKCbr/oV8f/uK6gen/eb+eX16E63D7deh7
+/L58a4/fhxuxxGe6vO/f5j+aCv/MHrjYxvuTGnAqv/69cKa28HCVtjRZ/dDmb97pIvD71nhD2aB
XfkfNNTp9cfY/o12wuiAyJSRFKePDCQOJCMkTRn6Yj/11Qr3Brpfx4/a5/HsJ+Z5PPhTWUfftvFP
j+udG//3nUgcEIaYoPT7TiQPhBCpFFQ+ts3nVfyoaR5NfmKZR2M/l2H80Pqvu/Q9HPlrhsHpAZaC
EYUfOQ0mBwRJhAhNv3jN11veO42+W8UPG+bh5KeGeTj2Uxkmv3Xhb4QzdsBSQRBH4osBwDUehR0s
IOhwuOS7Yefzan7UQI8mPzHQo7GfykCn13+r4+ADqagkKoV48sAw8oARDmwAf0U68thz7lbxo3Z5
OPeJWR4O/WRWCaP9W3lAesA4gFcqvnjGY2QTBzxF4oFfiaf2+byeHzfRo+l/sNKj0Z/KUGfXxo9f
9+r/PPBwwDeuEMH0d1r2wI3IAROCIkS/Dj9hBp9X86NGejT5iYkejf1UBro0sf077aOElEyorzj2
OP6QA0okYB9Jv3gZkO77nO+eINwt5kfN83DuE+s8HPq5jLP+jaRNQkrKMGQ0T23COE2lkoB4j2yx
/nDEufx96lNL/D7yUxniyk63w9+IY/TgjoahFMjy/Q/k/w9wjB9IjiiS4uv4Ez+5X86Pesrj2U8s
9HjwpzLS++vm0/XfKeJAmoOASSOUPjUPxQpTgr8GoSds4MtCftQ+T6Y/MdCT0f+rLfTvFvdQ53t0
zWeF6b8vEKgDDu5DGP/K2tgjNxIHdwYSkKr+7mUPIe6b1PXv1/N9fe3bxEeL/x/Xzv69rvZNisyv
w/Xus4r6PX32u6NfFZkng4/E2EfP+TVOHH/8169YwJZ/E3XuvuJREPm2Ufc7/G3G7fUYYDI94EJg
pghSRApg2L/+Mt/ejaQwIOGvCoP6oxSErV9/af0QSphEDoBhcNAeFIJEVqYQzkYf74boAdD3u1Cm
hLozOsz6+nDPvFuNb7/t05fPv7SxeeZtG0aQbFO4SXd/3d1CIUkGAZAyyuF+GAkhYXndzfUVSONw
Of5fwo0prWKh3VTZbjlc0VI5TVKP1PHm0CovOmFaq5fJ1uV5DCKEnAQ3jMeVWWSdDR1vebakfHgp
YmvHvKtnM18qz0qjE2b71GoTeyRPuoDbSmmapqnzMKNGJMdjt5W6b1Bi93UqhupIrLRiWYcqz89p
O84og0dOvB4sikw3IVmx9hx2KpuWSlR6SbBvNSeYLnp0vg46jjU5p6xM3m+J5Uz3cUZOMybWczoq
876uLKky0qTrlLW86eD7GlrMms61dbqWRnRHNAllo2k9N1tWFWllMzJXashXvoRel5WYgw627Mme
TNzzHUe281nS13w9oi11b5Wo0wtaUo93wThzOWxBXZdYsrfeBPmxK1I1ZOPKotXlME61XmPE/G2R
wi3fGNwHpis6L835mjrVnMxT7Sbd+rQQeWSIymPq2tW/IFvFQ75125zuarGpMROdkNsOTWVR6opF
+dr7keAXzJdxO2fVEM8UL+QCNkxc12o7xu3E9UU/Xo5jgdxxWkUZdMfT+jTlZAnaj/PytjWFjPte
yXIe9bS0xWtfVhPdzyopm6OxKAeiDe8rsuvt2H8Y1tZjvfVS3JS8LcoMpSt9PTcsvEM2JGyHXR0O
o+y7Piu7Vt6MhfdDXs12Hg+HrWZzhnDjqW4la5CW0gynFWPJrDGPK9sPFRdrVlM7Oo1WPgkNLkBE
tmBY1iEb+TLpoY/jUfBJ8rGcEjvrZbb2FBdjeZUEO37ClL4K1nS1LkeM0swF2XXaVdK+iLNvLWxQ
3e+dwwvJkm0YEs23lLxJ/VJjXVPUrFqsjF1FOlWpnqqITGZLt3V6clwlukjnMdVhaZa3SwtJebb0
sb1JQ2KHTJKAG71xtj3vHWewNoxts0+Jl6127bTVGVFouC3Tprgp5qa9FITiDxZtlduPxi+zjqJv
p5xPBavht53fS/D8XqOI0uGwQEXstF0V8Tou7XZNE9ZdToRFo/t+WDZdT16GHA0FU1qWvd90mdrK
n6RhIKO2KPU2M2wks0bFvCKd2g1vb11tiptmxlQcdo1P21Mmo+ng6Dbd+KI1KS1zUShr9RTS+hmu
WHpVrF19hpMtFHk51Ohj30/ptjeWL40ep0q+rZjhzwMP6q0XwrV66rCwx96R4I/L2TWXvfOo1o1L
CwouJ6ouU0Ga23RckdFs6CWCwXlLs7GXa6MZ8bPJimVxr+bSlAqgrNziq8o78y5Wd/ZRrrJUrwFL
lPN1BuhbrEuxdnzxTpdE9gBS2PTnSlbNK5TC3XaFqNbX2zqT8nJqxoHDOeSxvhoWOhQ5QQmv80Ju
5oimZT8f8pSzsDMDX9yOVfOwZrH31OQkcQ04VM8HpFtLndWqaMyo6yhUqhMVSZfTFjdN3k1VifaA
0WXUxtd3T6ds4vOE+qmH553s+ZikhGqPuao13mRX5HIgBd+vIpneJUj4dw3t06jnOekmnfSpmfOw
WLJpF+VawW8TFs3FyC/d2M4fRhmG024xm9NGsTboeu2WLh85JVdwYBe8W4vGKW0oLeedXXvucstU
ivIOHK7VhGxhzgoaSZutXFbzToiuKy+LEpXHQx3rTW+pMFe2b6agl2KL+zbtAZN7CiaQq0sa3Zh+
bM6Ljbf+NDSuanS/VibuKMSgqOuNVc1eFk1QO1407XsrezgU0ZqlzUKvxNVYJMWmWcdLnrsA8Q6O
9WLfWYtszIaxRTJX4GovKeVh1FtB/EnRpHjc1UayKjO0K4IGNEVIQ8yIg177lEkdkiYYcFKX9Lkz
3o7aV2nz2o5l0eYiIIZ1D7/WDC2oe51ar5JsiDUcvsmitsxc27B3ZShrkzlf2Hzg1VbuetyVncag
9XxclEW9hlhfvZOs4Kg9pvPI5vl1wRtwaM3LAX+cQ9NexG2ztU7xJo7ZWDfTYWHT+lO1pO6CLZy9
ShO7vXMxHW7KBLAwW73nH/EYk0KvHqHXi6/Uqsk4+E/UsPJw2YQ/dXjb3lucxnNV4N7rsvBE6a6v
Bp/3vbN1ZnuPr9aw4TecVabUjfC10jPMflv0ZPaaqnS7qm2yfaqTMJ1gATCQDZaGw9lVW8zKSahL
mjZ21RVCmOlpSPtSo770kw7lhI9ZFHBm4lxzgEZwGquLOE8EHGXiL2uToDqrh0JM2hU09HtamS7m
dBnmRk+sRuel68ubcUlqqZe+IzRjzq3yuSEbdtloOSEXI7QNmCwxcl5rvVRtozDE+MmS61qhUMLE
LeB4OqemWZ5tW8OWTqd8jvLMKDzVZ9wkUwWRZdmK9iV3NtT5LCsKZ6AWS3EU62RAs1amQfh4TZhD
z4e1lzgTdHBNjgRXbV5z0p1L30t32oaSD1psFb4R0szzR7yupj/zrnBJDgjcADI5FW2+znVB7mau
W+bWknwwLqnmjKC1GQuAIlqEvI+2KPJtCag4HuMayzd8CwndjcnYVi/DOrU+d0WFqqPCzoZbzQHl
cdawFTZGhXQFs2/jVLyPlI5kh+ZW0SMfvRReT8pNVAJwOdW3+4GxCd32NcCYTiSoYIcrr5J5yyfF
aJg1kw2VZ8qGYv0U1ILqixEAYtgH0sjh3NbGD+cFqit1XKoab2zXALdY5nxDLXL7cu6iODV1RUxG
N+PNWTpRZz74IRlUXoYFgZkq1oTM0gIWmpaxmI+WIlKy6GYxhH6MS4juxNTTWj8TTKEtG4BOJ4ft
2Ad0UnTr1GdohbN75Pqk5/sebbXL4Jh6kpGNW/x6RFtqD00vgArDQWbLKzlVrdQtY7PtdZX2vXin
ZozfLkWypIeNjMUnFCXhh21d8RVQol5T3RQIVTrd4DDnYWpi2Mt+EuGodUO9HsOe1zFb0WTHjA9V
Hy4rAB53WlZpvE2ARp/LpRDvRbsiscdyre0eD+OYHhI5qXU3t7ZNs03gYss844bl2yashE2b/EUn
x4Ts1ohRl3nOjDlL4MFcJhKCVy2Bai966ET/ATDBxj2bRglHHSNLM0PmSV4GEcHNsXTE7yjQjh7Y
WjQE4nvaxx3nEn3qCaqBwSvbAv+ut57seEz7VPu2rIucY7E44CBTcIdAEOige7aAvxWKAep1EDdf
UWUV/JfQ/qWnwKb3cRWBZcM80zFrCrzwXSdsddUNa/mpTXlVZ27isdFqoetp6Iqm1yNQ6pD7VlAD
hdkxej32fFZ6UA2XJ7g0sMWDQOWbBHeiyyI3NcoCGaoma1msgar0NSqfkTiYeNwybxegt2v0p3R2
faXXslh9ts1J1R6p2Xciq9tqo3qKsW7P+2XgpfZO9ulprfzqYPOGpNxNUUw2qzyekzxBYAUtSl6z
HfWbLLMavszlKPZlkQU61KOuurWNmZnHVeRzVc6rRqOab6Zkc8Cix9Lfms46teuLtq8+dK6j65D3
JoHkYh1tt+Ubx6Pfst6LScaMmMCHWvspxKXXGxMdnvaQdijmcsFMygrdLiQpdutKQprVdSvEpQTM
L062NlTDhRiapXoj2LzEImsHUuEuG4D805dAPSsCBGHomrBln5PmL/n8o9z0xnfrYE35panq28f/
OP/aqfW5veb3v9/1U/z+6bK7bV+E4fY2nF93T6+8u9+3S3/v07nL2r817TxRAR43Uf2VwUf6wSMN
65F+wDGwb0og9f4TFeF6BF1vvn4sqH0WE36ffi8pgCKUplD8loIQlqLPYve9pMAPFKEcGhOwgARG
CAaa3hdJQR2QVKUUNAjoeFOIQvH1i6IgDgTnwHYRkZSlmEr6VxQFzEAceagopAqUCyoQdBZxkDeY
gjU8VBRsCiked3QXLSDbWkjyIeKqfTUzOzzr4qjOvLkD4lTShugpqa0BmjIui67RatNdx6p2OUx6
qo7rmo0lpNi2NC1wcl5sZ2QOa3rcmwGYvHGNQCdcOfM2Drw9Ft3Y2CM5Nnw1ejZtdzypINQp5M2i
hwxvK4B3CzFjIKtF9WGMfRIOJ+vKl9Fs8v02KbnmNe2Gkwl11fKsEVUTT4NPscmq1Y5AR1WbyGyr
hKguElB7xmPiUnsVfF3g3cJExDvpmvhOds2Csk1RsxsGao7KWBWXrWqma5lyCzQ5RcVucQPaN11q
btlEhhZCu3S7KUz1O9Ut5N0AbCePpQwX8PXguhYW2uoy1CTmqAz2skGoO0ssnneBTPgCszhezClz
OyJ9ejiZjmvat+ZUbvBNeqysOfcqepoXdlhG3SQdXBHxIDMzpmbHSjdf0NC1YrduuOpPBRDWXtcL
Li8c2YYPYh1Jk5ftvM4Z4CJ/5gvR8ZxGmp4tVSp2fMGQgaWqXLpdPa5NcVjWHjA/aVf53iA/vCzR
1DeHtpGT20kg+PhwYIkpz8ZexU+xLcwIoogy9b6w42zyxVNu9oimLh51a+yrPbMM8ovKC9q9AXVs
9HkJFW2Vi3HoD01c4nxEN5JoPIZodrGYRNfo0Ccres6HmNpTMSQz5B9t0W9AmvDEPkDOY+yrxJZs
hgS6XWK1p0WloiaCxotixgaoT2iq/oQ2JTAwNhWIZ1hydYmarfnomF+TrN9SyEcHUYmQlQ2yH+gm
0M5FSJP3Tb+2IBqIOODDmFALh7mWPfbZGCG+XZfAgrp8qxXII0taDeu+aFU97VVq1HM40ZW8mNKY
zM9EUFacFqGf8IsECPW477Cq3v51GP7ZAPauggQZ95/B63ebTe/Q9dvce2yFdjzQVpiSKWjqdwUQ
qBh+xVbIERRVgnGAXxAUAfe+YCuUsgBT4ZvA6pgJAOdv4MoOBDTJAiYqnIIuR/4atoonai0g+13j
kxRC3d2FfVZzH6i1lVuaMg4sa9wRGy2wIICYKU9Y6G9568xhsSL1qnehPknjnDzbyq7MFKmet225
avD3l3TBjdXA2MuMlkD6QE4meu5AX9TVNrwybbtmfdkPJ65aPQi7Uo2nIURQKEkEPRJI1lQebrFB
F2WC5As/eb9PICnBuitFc5kE9gky4fKDqFD9roW8KnNNnZ5u3SoAK5PtqMC42o2qH3fWgcNV85bs
IFB1+w4S310ppvSoA/V0R5CfOj1bWN7SSvTBlCAez5Z9MNO43VJolttD6sxf4sWnO2UQyE5uQ8tZ
qDg6BQwxx4gtZC/8NJ5NRQx5YKrKokJ91tf1sgM50Lyg6+p3hC1tqYeajyAwebXzbYePyJioV6ih
9O1QdT5P2RRBtxsCIIQSpZa+NEZb1o6XBqt4aUEcvKy71r9ohaM3QBUvg5QUHg+5o7obFAjoI8q6
ZICkd6pHo8UAQmbfMHoWLWV7U3XwcQa26eYhPS6boXlreFrsgMMVuQoL2zdqGc5m1FM9y9lnvKjb
WrcmTseSTeIIwik7GXhDXleS09OUrOOrYd7oddlGUGr7mhzyYi5vFkjSmMYVL09SECXyfivX09Lz
btai9ts5kUVdaJYw0BClT0DAVku/Q80s2nxkhT30dQdJiCjoSVu6cj2fyymc1j3jbwdh+g98GYbd
0O1NshU4m7st7PAUyl2suvq4s7Y5nlpsnqMpmhdhHZI6l9C4bDQpt3Ap+63bl1spj+LcVzmznu2W
NTGvrAUxovZDhBO4sTcqme1RWGefT1A9O8LCx0vci/SwD0s4Fc4NH9MlSU42ZuJH161jq0Xolz1v
IzsaoKn9asVlcuiLOr1C3oWjQdT9ybAoILcJ5AoZpHTK6v/3oRV/IZ/oz8D1sv34pI/iIW+FqffY
yqHSDEVlIK4YXhmg8HLAV2yldw3qAiqYHJqeUqh6QefgF2wFdsqgNq1AwIYKKCTqQCe/EFcGRTLF
4OsAeBFcQMhfIa53ha4HhTDAe8VlCqyT35Xq4NQ8pq3JSOulrusshuBOIOlZjojh4rbEoAjnGyyC
6QLqMPX9obiv737Jeh5W4KAj4umNJUohrmAJZT6sgDg/vnHLJB4wqTMsJkP2sunTT6ik3F64qpL4
vLTbloCWYIbnK+9BjGtNP4BXurp6vhkKMDQY/mJIEH2zpshDOQ0w/HU6ShAD6hlV16uqQ3rIPS7n
HOS29mOd9CDX2GoChakYsT9ZEjmGPHJIYvNhnUHYCUD743GwU3cqw2tWTwiqC1W/lkErNSRnoVHt
qE3psNlx5ts3SVLiT3Le1iKfC/eWCiMOCQG9WpuVBpCoJ7QVIPA2TZmXGJiu7oBlBi3mjfeZnNEI
sjG9Y4sSpIpL1fcgQXPfdaBgwwa8LkiyXIHYsy456Plu0G1VJRtkp5tfs1a2M5QOpkGmsDsxX9GK
38EMEAs3yNa3bZVnvtv6o66c8XnXiPq0nyz1WT1h+wYS9PUZjZ14mzi5fKjNVs9QNqhEuueTGewh
iyk+FCCUrJnre7lLyqWvddE20zGET5Axlezos60YhIcoE9pFp9XougzFwr0YBYHgo8hL0UXY77Ff
EqbnZJENFK3qRB4loy3J0SzQ4i8gv+hBk1hxgvaxidlim7rdNYrYTYMGEF/MpArtadV602WEyOql
FdyFXYPIBjpoUVVQchoWop3YhrOiWdc7GsutAu2vrKvMItaajJSduFPOQjEdEmAQH6xv8HEi8FRk
vN0Q1WYaBNbopfSiVxnfKIivZgRlFvT4oshkjxqb2TCF+qgjhSz2rgrVnAvc0HcS3nQAhZyzge+L
NGnU6YDivJ6tfSKnLF3JMVZcQYm1LjxUu6ICoWpTiQQ74+42YvYp2foRaYVrnGZBYkheelbScyjU
pVCWGKHGlM2suOGVotezXOWrBGGTt2gqVu2hdnfl6FQej8vo6su4gLuDzGsn+WJZVlfBOkQy6m5b
ojv+/wbfKaDhv9cmHr0T8qDL4T423M39KkwAp+GA4AKaFoAs32H1PXkW0PsNQoWCvnBoObjrNvgG
8PIAA8JxBWQNZigoqHwDeH5AKfBpiBfQOMGYZOqvAHx6J7g8hnhJEZeMKgo5I0/vFv5QmYAqbT3Q
Bu1wEf0Oyo/V+WRtF7JmGuwp1Hig2ga55nuojbdQrQtR+l1iSEL2SowBausJgRLD5sY+w0E13VlZ
QhEwmHZ8s0A8aXPXdmZ8KUamrlHbNHMmVFKB2gA9FcXxHJ0sdUtA69vPTeKrowDgHXXVWjSddFCO
ME4nM3CjvJnYFnU71C6+9JXz5BNZ5ljunI/jrpRrPAoFdAydrqGvdyJRxaH8LH1Mn1WQOz2k/CyN
rJSuHcB2MafH7LN8Qu+1FPdZWDEDaCxOcrccjslUpjuCK4N3xtP5ruGBr9M5vHEJ0omioAFDraBY
QGXtC4myqQbvei8/J6Tz5+Q0fE5UW2RKf9hPEyuPG+fckTEoaQ+LuZ+XvSlrBspwa6FojZNmJMcQ
IOoXowIpYueAFJOsqns7gMAPSJLXa0lfW2ZY1o9d6t7OLZpd3quyz1YLVUOQWjp8ZQp4st2gOrTm
0JYhUlAHNrFznewQoG06vYGiQH/c8LsOhaIDHA/sdpWkmXZF1WChK8lqspMJo7OucF+kuktK+yJY
lXwi01D2OweyBUSEgsdZA7MH61PQE2xSt9NOBbKRy2kc2VF6V3tSrO6PMej/z1JabHsu637IGbTZ
rRnBU7KvvVFnzUKTNYe2icru19as75LQmCWPAFhXo2uW13FM0NUAFbgPIS3sR2jtUQCIpaevofoo
CPBiNO1t5YrLWRTVCSiEEJqGddjjCvMPkFy5s6Ktt5CZFENELrulr7JU1eUhRJXnJiH+yMTSZHVp
XrGhro8UDgbaJxq3G6DAd1X2uPiEVU/OgZq8mftwU6MeUk48lK/buSkzH3i3mwcAdOjL8MdoHOje
o4CPK19eg2SU6gKtydE2pBeodc0zRasVimXrjaq4e3F3W1WLm87g87qDA18phfZDF+1Z0pQfi4Hd
9I17BYXr+hgymi2XdjscOlxOWXBePWdzhausCps5dVu69ofdsi3vt3EZDslYNM0ObX36LEyyOIZq
zPwGiMGU8aaCIFqIcMmwqc5qw91RO8pz6Dpgg57uZLkUEj+1ymnXQsX0kKYrtAUI1w9vKmgIMFCG
Hae7ckrMLDcoryRd8m5IYBtd+arpqiQnPQaPVltdP5/HMdELawFoNgOCGehZmVHllicNMWeuoTBN
LuNlLIc3TVFaqMekkHpDORJSHC6Tt8rMoIKn7JzMat2Pcl6yduv9a+hPcntoNdobtxbdD4jwP5v6
A0o4h/PxpwHs4btzvwewbzPvw9d9qx7kH9CTDM0TkFB8DV8YwzsZCiIaNMoSSlPye/iCVj0B+Qq0
492p6Jg8aNWD925RmkKtmwMYwyj/K9ELuhOeRi/ImgThd6/yYtA0KehdD6MXJtYQNfDjAP1LoBaz
Gr8DyRTq39DZMFx4X5Uia3q7JSczSsI+OkwyL2o5QMmdtkC9yujuCJ4FqqhKtbljKjex5ImYIMQZ
EEAvFnCmLOnIs0jn5jVoIDO0gRTQ5bZ1o8ygJNe9rL0bz/E6mgK06IQ874BTJkCxoZh7uTg+vJjm
0boTNyTLdr6BvA3+AJWsU1F0CQaNO+HFzQoEfs/jlhzZvhP+TCYlupqhnU5qyctInyX9OrRHZTej
3JGKiWMboTNsTnzcjXyWeOf7sks1Lzh/EwNJusxgU18hWbdwqdrAmRJ6uRRcthn/L/LObTlSHO3a
t/LfgCZAIASnQO6cdnpX3lSdEHZtEJLYCwG6+m+RM9PT3fPPF9Gn30SfdHS1XXY6kd53rWctjxBS
dyyszMHQob+wNvZzSHbp0AItoWF/kCKWZy/pIbETcHRjVKRKOvqknOWZdeG9p7t2R32/3G8MxKma
VZAGxuWj5FMGXV1loW9ABBZJPjUjhl8DkIvE3VFga73FEqRv+468hJ4+1Kzq4CP7d+M0+XtdklPv
QeWBWpZTCi+wjVdxjNlYQ0UGhFHBATo1wC12cNfh0BqdBbY5JfHyEU/kZhSzTPtuzQczv0rMX2da
xdBq+nbXq+be0v7s25Fhp7IH0eqTJfGQj6Or83oM82DFRF+pannvCF/vKzHYU81j8cZgNhd5EWj2
7Yrv+JVWP2BYVp+9b8je2JVl8+TseRqG8kkSJh5jzeDjOITPyLmEwb3ewqYEAipYSbCs8aq5Jbxe
0q4hdZ39HugZIHb7kLyj4aRpY/i/Az1gg5qDJ5r6G/EgDyYWW+WAiQIzimEHZuZRppVYwyORlXn3
KqVeqFT6LEk3VtiBO3OL70o/2EURGKq44ToQLKtqsxXLyn6dEgpFzyvBmS3K4IFSkazvhroqvbT3
Pfi3cwATHfNDG6W9AxuR9nHU5GvhD++RpkEWD2I5RrohP6dpmJ7Y1E5ZUVbdbVcE2MZiOtnj4LVj
hmlmyrUweCWw8gbZNI54D8JiOjez3zwZLadbD+ZRDhZJ5l7bqmNBS/1cEKmrnJCKXJToxi9B0+qc
9dWSxayMj21ZD8E/4CLmDc9ucdV5Wdz4gDcRO7tIzvDiV5LSHlrCOFq+81aFyWaJxN5jwfgzmFaQ
U3pJ3mWtwx8yDKfhzgxUcbH3x3C04BoXYAtfvDmyIwAuskbnKIn7val6sFTBLmwqeYiXRd2sFpfb
0KnkvcAilgVa84xSAFZJDVwMWkiQCvAjH7D/90H7papNeO79Ve+1osN9WbfrHvPK59C752o2N4Nc
D7Q0O1lNeU3HizcMGJ2hDS91dSGKN8d6GNnOlXzIHKDcSxfy6a6oNO5abZ7xk3dP/hCprKd6gFEP
wXnCfvuzEWNy04WlPLJi/RJuZIEvCjheUkw/oqaZH5SY+hvsBrs5bi7NPIVfrJzFL6+068950TyH
clwCzfPKs1tF+Ti2YAxkxSmmL7J+UHhEOl1B1x772cidlk0H6LICttE3wQnH53B2DWalGIfaHlAR
poCpHekXB5QrIzzuDnHhi/06hNGtX8XspVxcdwfIOMHKPLM3rNf9noVf5uSmnsoH4QORqbqe75JJ
PxBNzT0XrscnEeIWZhKoqdmbc8WC+jHSll0wLpPHlk7dscWPJiu1LY5Rq8p73Gngt7B+2Exh00v5
xMu3IYmHo3XE5mBSwsdwbeb9letqXehWEK++e5bWV7seuvAhsIkHQR1G50vVdX42LGuy7/E2O4Sz
LPeTK9UpqEtyQ4dluQkaAwFMlXnZtAA8udiJOapx6IVh5gtFbsLYRPd+RNoDaTB7Q8tNhb/8mCS0
pVlUx1HJg52De6nLL5il70hh7dlNtL6NK+EOld/2mVlgU5QLLOXOS7qsULHc8dBMe068Je2BK+7A
quFBJw6MHwd9fqQrTINY2DXvmYKhWMpXLBxJxuXIX/ja3UDlhKnQrLkhxdDCdd7eioyWQ964qNtj
CqwV7lwy+lljJT/XwxAVACS9pbhUs1/zvGVlMaTjvFqS4y3mfzK+1CdshSo5VaJg1avfh+4wFYDG
MtuXdsemKcCOxVQm52W8DQWNT55d3a1ly9x+WTip6p1IBh1BNCoNBWa/JknqAf4wzyWg9B+1X5jH
CNzr02RKw/PGeH2dzVgoZKqUkQpMamfno8OyO+aRnIKPWMbxXd00Og0N4z+BHpcCTjiehQuSAbhb
EhWJbKVj77IEFPFp6hL47azvGh/DCSp7cGaQAhr7CAcjDEQJQKoWjqWdrxg4IFkHXy1ct2Gv4R2r
PW3xPjj6hSw/Wr7YT3xXiY+lcEpaAIKVAYkbx+eFetCSICBUaVAtgAb9anzwB/eDKPXci8hCJ1tD
8enZlhlwOyCP4EqT+EljUz2C72lxoVbwX9eFDzwtQq9R+yQyoKRqCX996Uqdg9sJ87mL+JdiGWt2
bg1vPwrsw8hFwBubUt3py8JgVTmmy7ShQVOk3izUlLoGMkChse3TOVyPXmnIG0ZGdSTJLF7nkI9v
1FXNg20gQQjplh11xXJv5sC8eqtnAAd5YW74HBn45kCi2DoGP6QZ1WltGa5h/D8vnlLTzdI1eHOy
0H0m5XIkQMH3XWuM+y9yMTbL9j+rXLvPtlmr//eHOqLf+RjbB/99T4j/FjJYubCcE0R7wN7/QeaK
fchYyP4mMWza31Su6G8cjsf1P0ZbLRLFZ/vNxojicFtFYDhDHEsY/yt7AqJAf94ToL954IY3YROG
Cseu8vs9IeJmBbg55F1Ffs1TMGdDo6tXQUGUj2EpXkUFeLSJA3HLafSdtNVLNER3JcU9usx3AfiP
pMGx2zL9tgY9EhINSLK8M7p5tv7cHElrlvu64YdBWChWwiT7QsTzjiLHk4GK+Qa6ZcpF5L9hKoKY
VXZLPrj4bm5YvcOjLm4TUsBJbhDtkBh607Au30KMhbntovDoAm3zGmwhJhYh9sxvEQvAYIIt32Bz
0at/FQdWr/f26yLbjBUCvLVS7tLWyXRBDhiDaJUsOW36h3r0JpZJeDh7viKf4uNyf4lLYDEePMQD
lGM8qSu+Ehs4e8T4ChmGhz24QD1nblw/Cj+QuVjZks+6q/bWq/xnhEXirCUqOvRT4J0TVtSnOeym
U8EDd0BAYNxDqWO3iGG478x28jPSLJgwX4GM9ZaEfevrdslHQ0iuhpI9c5XwrIKJcVclzD56gScf
WzasCIm0zVOHIBQ46NY/tMzLTUjf+yqBgdofR9f8MLwL97RWD3VMkA1YIb7HFOAOqfQAPQFKuq/j
NML3NAIdVkO3ZC4Ix9xnIT6ZDsgxGECmz1EVZEwO2KoaDUC28Uge15FKSeTdBpXnZ+2U8DuMiZ+x
aD+FAjHsw6kuPNzYrl8YPpirFNvQkHWu1hAxcBs3DMLGrBZYMkgOyX4UKeso7mPwASkMk5tBdGtW
NGudDaZC6MkSuY+6+Gek/Fep62fnoNYJrEpkBvsNG7xMYWxh4SHiFhJTnAYR+Y6F/jSZ+TLwyO7A
UHyzvn3v6JycqxkomBQgfgrTfneWqmyM+unIhq57XUx5z4vey4og+JxD8ZWZ4CsJ6qcaEndaNy1B
0iecjkGkEA2ivsh6Pr+zddm7VuGua3FLGXgsJwy3iK+M3klWSZGWcxHgVYv38II+XTuOe4B5Mewp
7Z0rvGvP3WSrHy00wX0w+8XR2dnfWxp2eSA7shfB0GJUnarMw+i4d9EUZ3Vdy0db9cnTzOtx32v8
adWsy9dIRjSFdO5n49hgULOFmG5oHRVrHlsa3w5hS/aIcEB+dAWWxQxfuNsFmzRJN5ES+aEeKiyE
S13N9OIGCNtZFwj+5ArGswIszE0fGkRA1h6StF6lOU94GFnu19A7M9Gz8kuYmBDJGbgFYEi64k1O
c1Kmaxn6p0HU1wGCzikJuuAAsX94gRwQ3Y4F92pE1CKE+JJpXO6GICh3IzJrtyFf3LFZZHUz9ZF8
JJixcLu3BTnhLE7SWvjuAeywf1lrFu2Tbp3xY6iiXQIhWZ4x5Hh561v72WuKTWFdHlo6yDMPsNZm
Pp6PY1lVyy52VXWpm9gdMRiZHVvkr6GfERZQnYgxiAIjQ2giUvMzzoj5GbEgd+y9InwN6pCdWWjJ
cQqnMQcjonam1ctNCwfhXU4mfF0l+f5f4y0F/6u39Pt6nn8pc//EDn5nLQVQ0a6+PG5ej8e/sQOo
reGQ+GEthRw5T0D2v126yLajYgCEQLI1qvArDvuPSxfaHFT3gG04Fxx/DmTrL8RogSL88dLdqCwf
llIQ8K0ZJNxMrN9fugNBntWy4NBKyNB5gK+zSb1h5u8YI9tzES1iOAH866AX8IXmZVnADue9/yGg
fY2pX3neLxO7aDisbjz3XG/Ry172F8kDMx6nIkgurjJRmSWL1W/LaBd2qpy/iMzMw4trZQG8n9XV
W1mSSj4nYyBdhlUWaYTJIjUQ+S056BqhQxzDEIqMac3RBGOlciy1y84l9WRTSC1gKkNoNodkXHGR
hsAd7zivOp2tHVEHXeIbSltvXC6+qDqw/dhsdLXMNxQKZJGSxU4PPNwAeICOtU1LxCouo4ybR0+t
OhesCz/KTka/hBz7n6px2uxhKYWPo8bNmBIfO+cyUoLDxifR44gd1983IWuOPVuFSjX4353WS/gj
6BecOGXV469F/lO9TGGMWdxr+uXWrlrvWtm5PbTb8DuLdfSWIIHVp4yO/m2rPHyzjFcIA2gPEL9n
phko8PoNCQNvOVtEUGEneap4BOgEFXRyDGiGDO1bBAHzq0YIKfOl8qH/x90vLYc+bRVtTnOr5b3z
hvg+Lov6gSIxeXTY19N+aqHUCQtagFgb3pfURtieTf3ogE4de67sPVKG+KlPjo8fABMl+Ie6Ui+q
idVbVI7LSwJA+eDCkf0IIFNdbFOyfcgqZOCsNeXPYgV0kU9LSV80012RtokOwkOHR+YlWpf4RTZ8
eUduQt7CasNQBT17SrJ1LmDWNX0tduWs7RnBRrj6sB2nm4T3HuJr8LA+6DCLO9YX8tiVUXdfT4Pf
IsUnmwDXD1/fTKPiDNZk8IgAV/KpAImH+6Zr6DcrrPqB64x8YuPhv+JIrkfkJrHJuFADd7H+W6di
/36Gxw8Zo10v87i0X2e2QFWZnc4WG5R3ZpEY9bwNO8tIFcQ7hgDoFuxq5zeOlyxMe+P7j8r1gDei
xoTfMF1RSHblMB0IbZpXGMPRqz+Zfic6D5KdjNTPadV2F0smH+YoKvM4VvMX7pv4yXZj8BKWZpA5
wBZYZzQ6J0XSfQQQ6+4rknhJWpQI9aThMEIs8GjQviEiVOwseQy71VxWuGxQs+v2xrohvBfJEh+B
pLlTz/35+wR4/zRHnbobR77gDvMSOFRS84sEdZ0KEWAZHm1/QXI28pAHQb5410DG/2jrVR6x7wEQ
7ijBhm2XYH0FyBfuRWGbvMAy/oas//xrkGPyRj1A9shusFMwce2yBcmNcdeTKDIpqO7qwddS3FOP
DHe1LMO9kR1mN+WB1YvggL/JHjyy8GbPHtplKvM5UvpuneLuAb0u/X5qE/UFO2b9tdEWYGlbYUuY
Y1V150IvvMaULPmzjXuSCi+I+LHEPoWQbwkIX5fGfxW87c+0wZMEeKAETxPZw9wqvUNidUVir6Lk
FBXWCzPLVrqmFC/rxS+SegRa2Ldz5te+fq0gR7pjhTn8vwfZ2/yh/7zs/qGs8N/u3e1j/8ns8YiH
G8qBXobQh8nxT08s/Btu1BjFMT6QjzgMtpKM33hohtsQRB2C7dhBgVP/btn1fPyvuMERUwFOzf4S
swdS5M/37sZxwAwDdY3QGaDoP967AVKwY9hXWTL69SVQSfKLeiuc/JbOBpdP1c06NViCip1CSQJy
vaKlz4PziyVXY4KYrCftO6Mm8FLddgqRL8Lsj7ZhokUCdqw+bC0CFCJAAhxvZLE4JJ1HTUhayrX7
YhSnS1oQgkAlaLZ3p+JxTl0V9S9NOJXgRuq53bk+snUGRSZWsKzq4qOKqPB3VVOY25ISjjm783GY
LUOyLVUyULetDcG/iaHsmgOSj8UdQQId3Pbg92K7Hl2881eFMOrKgnhKQeshVecwVZ1UZwncIhJ7
NzjDI5rXtZXQFycovDuvqESTzRbD86FgTg0HAxjwEZsgwgvL2AB5o6Vc8DKBmX2nM5YXkHuh9vcr
bbc4djON8NXQZoEzkZjuZ7lyO2R1s854yYvV3zGsiwl2y2YButxXX8eAJks2mqJKcCzX09FDhHNJ
2xIFD/A3FNJkfYT44w6hxMDt4rJKIE4opOkRntCYAka2vveMOMTzVELA3EyKI9ii/UYcOiQvupys
5nFYQ+5SYOrdr3nsqzZ3s8TXDia9Dy6mhOWXhonoslE23okX+LG846uZn0ZF3XcKaPq8lD3KPuw0
Nl8Rh/HvaD+MLnNmQDInIMJ+6bEAyNSWSfTclUE87Cjt+FdPJOZUTgCuxQJn5IA+Ff5DFt5nW+i6
3Q1RMOeBivwu7xHy7TO3BrwESWT6z6ZKNOicSLI7zUOFMg7UxXxbS9zj5xEDRnUZu8j/pZDrCfbA
F5PmGI18yyMmyeQjidgVzzp2FLxNRWKTDULgDxHbgykb8RpNBypskaHa4n1r66DOMtZwhA7dIkmq
Zx/WTiiBsZxiNvRNpjyDLGm5MurwoUHwmsDogTEGBXkr3qjRc1HqRcidL5Z7LJ7Bz/+eFQen4n8+
a68FQf9RV9wo6L+ftciecKD5W/AEGY843paMv+NzW+djtCX+Nu0Qi2rwr7MWaEIALjpOoiiAHnmV
A/+x44Cs21TK7Z9tL9qSeH9hxwk9fGG/x+dwlqOqmnssgr7IAfH9CUCwK+YmgkjbwjyxU3iO75C7
RiqXWWIfy3ja2nta9iMc4vkUKMKOKJOYDuVQLJfGgICVQVudyzGxDzWJxnYnQ8zj4UpphifdPtgJ
+enIRfSGrfMmqpNwjde7xEZK/lpxdAEL6CsMpP3QTCB9MetB0neg6ORNB7PsdsAorNKxoevXxtB+
PsY+xjgk3xLNMbxzOJBxFfl3RT2EZDeo0PdvNWXTPeRcFqXMuPmlrqdiD1K7ANYM5SLpevV1CWKS
V97YTQ/VqtfvmOeW7Twh4r4deP3ix+gUyjCwB4iReEB7Uw/g+VuvfOQuxNShaaWMlzCDL4pzbkBL
EdQ2LT6oDoXNq2Ut9kUIvRKKogG1pPmQE+T04FFX1YOlgPEQu4aFJppqOULhD5/qxG29IQo5Qwyt
AscI9gX6JZZFYOAsYJ53bBnXvRk4rTPqQxxN5xorDgkigEwTkPCf+CFHtzhLEdnjJSlOFsafy3zc
J49hDTM3xYrCDmTtkmpXItMJF2Jeo0e3jqRJh3lE8wsDm3G7TrJt4Z6V8U+UDLSfEjzzB66b9a6f
QxTfSFv67LCU0XhxyPKblFrQwyjBaGdkkyjZ8sSdGn/1AlVAuITi8Mnr4uDNtYa+Fthh2hz9I9E7
APYR7TrAKg+DYm2yn6oq9DKO1bfJWDJt2jBdxQeKaKoj/KDhlYQevyvFQsscXmiFyEzdkfo0LQXY
6U7PBylxsaQUd3iYy47jdV3JehthgzG3ZFFrsAPyuGjYprSDAlvM0WOITVNnkBTqKJsWr26PKCqh
QBGGWLgs2poUdoSP4E4kqhe+zageWnZ87toppyNWn1u5ojAA+St1B4LHwwWcAMvLJh8idDr3Ret/
GX2Bb5QWcto1qAvYh8LTHwSYyJ0HPGBXT3CLgdeFxR4QRAQ9ecTPsXIt0l+QCE+BqOlr2Lf0pQhZ
fS8pfhzTPA3xZZ5roAE9kkB4u5RlBJS/hlDXgskQueeJEZ+hVpCypWHRDVj7VeWkRSg3lWYJupRb
LwYzYfp1Pvh4fQ4xDZEbiFxg3mgVEewpgyx45ve2vClXvEfTQtULPmnL911ZNN+Badbftde77xgk
sGFXSVyeqraFSSWAK15GwQKo8xoPWslROzIweoGsKI5lbaK7BPKGybRfoAIF4944AO8fgyrnVMbg
Si36x7LSueYXiQgetz5wRXFYUEpS3vFJ9OVDM3soJcACZF8T1QU3Ucfme2ohqKQjl2hmMkkf7epW
W7HHacG+YHxsEJgSCATFGMAGRLkY+JCSi3DOfbSiyNSfh+DdakSvwYaywOUNqNQb2ahApmNbgA2C
MMDiY+ziEXVPSF+dFQzOPkXnwYrni8JfuA/iDhoBaAV4tTh7WKbpFrBXJESzjkSFyQO0F57Asu4n
JHeLqW5wCoJwvYsZJJ10mks0SlHYAzfWn6CrJs5MLo2moP7OOxvZfEQtEkpsUB6GlF0Z2GXYdaHy
SIYGosbbtagiu0dWFTwTa0OC1bLxn5OurZ6pFvCOdW1/ItSPkJ1DodgXaur+kcZ9jdhfzGmV9UBO
yxu8+f+/lRa6nc0eIyA7+nRt3q69Fgligcl+UBiCMr39TZk/dRABImQNao+Vx3UagmVfF0yeytmW
KEuaxXyC7BX1+whR7txAH7vElRw+8fINZ+G0fK+DqbqAdgLGjFda7p0/qJ2Eo71XvmdvYzt7J88b
g6/AouQe1RzLYzSNHjZ11DFdSETNc+tcmwftgDKopvHkfhUSKfFw7p4m4aA0t7T3kN7z2G1kXEdw
1tP5ky3anUflUbDlMH5quCOAT+IInVm8vswiTl69burhlKFws7mljEzVc+NUuzyJBNbTjQ+guzzh
/MFhRabBfidzwPC2bNzS3kagGT5LvM4XPOfdk4kn1mWCU5RmBbJFRZ43Y3JThM764NvJ7idw+lPK
O8Ts18aCC9SBAjkDPK9mpwhXc413QtR7O5TBBecJ/tKyOTegiSKkVQ6j7y34LTCFgQcRBkWZWm8t
/X1iO3SBQVksHj1SgzpDk1x964ON/6rmBqVyleD6JQ5FFxxJrSGISCt1NodL+2REsPxyFdDbXRk7
d6a0AEU0d+i6yaQoqzXDv3YtamnQcbcPy9WvzypqSfDe+1F7N+DZ6EBd2FhmRaHWJzSYcT+LtI8h
hIhiOEqMEGRfhtN0kLF3/L8/miI2gXIbbN7/eTD9429h+ZcK8NuH/tPvBg7LtmhahC3b4yGW7H9m
opHI4xsWiwBbwuBf/6YBXJFZZIuSbaaN0B3zLw0gQQ7QQ9gjgcWIqdWL/xIYGwR/AmNhByBS4mMI
9iiHRPFn7Z2iCKVx07rvQWg+OK9MviFrhyTZuMQNOggQN2pP0keOQLFwIhfYaO4R/TgaYam+ISot
a2BeYeX3mWQ+NO+FTTWs0xr1a6g7G9CwSJEYvZ/QtXIfEm/MUPMyHZ12RqMVsNeop0O1A7DthosW
mI8xz8R35Junav6ilkU8AwMHtt6HGkFaOq3NxSHFUON+w8OGjIZgec1D8WIk2MW8QrfWMfAJotsz
cZv/HruTGPV45B0oppCvXgUgzgvEPmKao3EK0L/N/M1tkMB0GsTLvGHJ5SaHtVUb+LuB+MMt3ZSy
5SqaoekOAlqwaWnzVVbjV4nNG9eAnFxYusuyaXDdpsapQgu4vJ2fV5tWB8bXf52vAp7YtDwzq5gf
OZ8IslczfyZX2Q/VoJAA0VrTPDtkwKq0o57+aje1MN50Q+UVw5MHywGVc1AVq6vAaOEQ7GF3TG96
0x8RGIYUWfdQ3lGxN9yx0Ij7etMsV3SOmnS9SpnhVdYEmwaFc9M6t0aSN7xV51+Fndq3atNEsYlj
Et900v4qmY4QMyCfbkoq1PfmA7eqK3cB2ixAJFS6vyRow/kK5QcRbxdFF1ZyBAjMptSiUFLeoTyC
n5CQm78XTeBOSSHVqzab143hhN+rpikeGkltccAIPzY5qvqGOOe1F95UYcl/jkUZ/WKOJDZv4Qqr
HFcs2GFtjPw+JzOsiQS2R74JUmC8uhiI4CQTKCyz0RDsASNFpAO7C/MBJSkacirQ5Yl+sYVtH2Qs
xmHfoOMpHQONDjktFu9g0DPZHFnTDe9sNt6h4xpWaW1W1D1G/UIzUOfRS5vAgsj8FpofOhS53FEY
KZimkfbcI3DpkDKhknzzSw8dXVMU7EamVswAdinvJjbyY+WaEYKVGW5LUyzPBSqW9ipOlucKRSU/
adJYhB/LqWwyMJTLjfbAiqcarYYPpU4E6gjxptZTD7a19gqZNXRePjRwqRtUoy2IC6oOZXM+Rocg
q4htM+T5gQWQBdxA6uMG9fAa9dUrMMPmUjY4D3IQXfxuifz+dSE2zJSf/Opggn+E140hQNQJ5YHX
TSKIXTvtF5/adNq2jLWSmMNVQdg7smFYQ9ZtIxlhYL3N25bSXReWpAPrJ8zaYIvcdplkqfjPCurf
gc7o6MohDWJLTQZlLhbRXnZYlxVri2cbd0fYLD48GXoPCvOsTFH2Vz0RKfuTFlF421+XLDIVWLiY
LKLHNgAcn6NTEysZCsEInBDXP1RxYi7MyORxuq5wxDbkJK+LXeKwVsYOc7zZVj4e9Nj+7LYIwnHD
Tjhe90PALdgVt2auU4+2y2GHd5i6eNtG6WH3gEZ1XTT1demc+Rg++VM0H4E4tAj4b/spuBfxUFrs
rF0bbpbkClYbWeC0BMr+sEqkDOR1zR0i1FWEY1B+8Ose3DeFBLm7bcf2uinDqg2BV2zr83WTnpcE
WzXAfmzYOMuaF1PjgADLaFDXasO6Hr/4VQBUZVvU4T6IvIjWcT91TbHHfDZjm8AQjUrDabrvrxt/
ct3+PTgQdx60N5khHa34fvQ8lNjWV91g2CSE/qomtJuwEPhtJW/kVW+ggHODcxHG0u7Q4VAhjFWU
7KdHTPtgdKVP+FIt/D7uoaFobjYnw2y1NNHWUGPQ5ZbkC06yFsf8VmJDyhI5rALMR9qsGuZULFGW
eZyvzTd13ACg8piogEPGVIyZqo39BTkUnTn82p8jrl06HpYAfvi/P/P8Exv4X62P88cfftXMv8ae
33303wcfDCoh8GYA6bAq6FY+8K/BJ4YQB0Fus4830Q1a2T/Mj+0XhMEsAfu+RVq30u/fzA/MRD6N
461FBv1dIAX+Unf3v+VZAR1sXV6Y1rb5CyUzf2ra6vhShtFcHVCn0pc5FsLkFDmOi2HjVbvrZWG3
e8PWC6Wpul4nzEHMstdLRm33DUZIkuQtF77Kw+uVNGy3E7KOgHy3G6u4Xl76epENXbkUB29ei4du
7eJ7IeE/p4LM6hXAXXycN6sz2UzPPkTJLsju6r6iqHr1N3+UXa3SaS1gm0Ya3xnK7cL2vth8VdqU
/Iy6gwyMxCjzafNfcZXHT3zzZMuQwJ2VCsDSMuC527zbanNx6ebnRjC2X8sAHq+42r1mc3755gGr
poAdPGzOcHw1iaECzW+67IH5DJgZdqOhJISQs5nLBgf6nbc5znhVy/OyudCUryvIXjjT6Kel9+CM
fRRrwrc2BCwumrXWIzpV+K/JLOQTQVv1Q8IZ+wYdBMfYiDKMTwN04xE3BeJTTefe5qtlPtkE9nm7
Oekm1uoYbO76Mrr+o7ha7r7xatjv2Hr2MNMGkcvCja9uIu1LAijya1fWEsQ9PAac4SisfaglxgwT
R2zJKkr7W9gatzXoQJSAN1jEAlQLKtzLc/Jsm8bhg9AhcQd5MZLoRRnQVB322NV2Le78Sz3O9K6N
yZjjXB7RdawQoJdb4AaQO0asbCw0/ZALb24DWic/fTDO+azK6q6hbM6bZOUyd/H/kHdmy5Eb25L9
lf4BVAMIjGb9cpHImfNUZL3AWGQR8wwEhq+/C6CGks6V2tRvfc5byaQkqWImYsd29+Vu9DH3hXLn
pD37QdjizkCyNnU4LYIM08jIuPeELzYqfc1ow3Mxh/XbSkM1s7bs4Bhm7FP8BnaAuikGBcpnxI3U
+6ShFvgBI18rpxlUNzLZ9Qx1m7+NslONfURWaNr+jETNp1k20qsrTXBfFmoWvNoTmt7TJwbVyfJi
3EJMHSXpg99hqLEVxcF21mT1YadDfNQ7aV+xsQnfphye5nZ0MH1yCZ3P1lQmvV80TZNsRsuOdd+E
RqnjAgdP2vF++t50wvpuq3Ucfw3kaMeEsiazPsCcA0Qzp0Z4yQQmbsKe4ePMIq9jfc16VZBi9cWQ
Q+1WFJ2Uj3Ct/rbsBvuIMS7yqyKCE1HAJVGyaP6YhFq9u4rqvvVFV7F8wtXzDW0senXUrnCZGBz3
BnRucpky8u8SMmd4eIGSXYjGmtttD5tSBDYp1kCN8qNthW66GXONTdfIApNECkB45tyye69GNQt3
8RAbV2Otdi9hzXKZK30uEB0nNz5xKqlM+lyConXEzJJwJuG2TJ4a5t+9sUyjldlL4JrrkNos8yrD
ne3F6xALv628iZbJ9j/naCOT+tcX+j9UdP3rwcZrPw82eDtkwpfcrMUfVIT8Xw82/Qu3fEA72OY4
npZE628Hm/WF/3wx02HE021t4UT+amG3vqza07JxYNEpQA7/E6XJQs36WWjCOGAYLjC15WSFcGks
F/6fKGedUnFZ40FRmyrAZstJ+stiLpXY60TYpxAiB+cYhMOFqOrQYAnkuNeMyvW0NVhDHNA61StQ
NumF2QX9TiZssljeuxBewXtFq+Cs5v48ZliyuX9VE+O5S2LDMSHu3w1qUyd3ImBz/wgOkMhQkgz6
RsrAuMwSdYy8kbXHuM2Lue2gcOXFiahb+7KAV9Bcw2a8UjRruHd7xyiwbfcmCT/YGJMHPCaFXYC2
5WNgUzrSf3kZPRlzBHl4WKQYICbCusadC6mqU8t3gECKvWEwniTwKzVBBI+t7MNt6nNfJZNAfAna
6YGcrltc/0yEJTk4YBtu6ty6Qk2wxNUsnbHfqKzG032FU7F5zio3yffAga3h6t//88U8ZlO0+3ef
rp8r1n7/cP32wl8/Wsx8LN5ITUIswY/MLPq5LMOM6qomyRDiSAYlCe7vIi4lPqbOh4fg+eK1WDtn
fxFxKdleil54FQMlXhf1H82M2vJN/vjZAlVoWppKgoWVnrnSqH76bOXDKCO9STdqpNXA+InyecSq
I7+0FOfRXpA6I2wdXAxQdrIyhrgzOY1x2a4cnjFUYPJAXiJV0EHqkTHInnml95jxGKCXrVQf8pTu
oU/047RcTzZFbvTThbKygKqVC6QKGSCogWl5wRibDj5s4iDYxRnmw0OL5QJ4/EoaSnEE595k0DTT
znrjbtTM5DmQmAOCgR44kFlLbKiN32ESLmAGOe0bcuf0kRddf9+yKS/3uZKq927UWe4Wc2R4zh2d
PEXatbmya4GBVycW0ugs2Ojj+DCIAfx/GS8HYUIepbmIE33GgGs0mm9WYrqPkgg4+VA2EYUy4Je8
xK4RNKMg71nYhzUOiXKcKK5wW7+vp4mBx9Tr5DYca9nxHEnCr3MswlsRDua3ksYNGy2on2/YtqEZ
dZNGDtFIw+SdB0P3bBFCfXE6coGtqkuWENBJKi/IbbLpMVxAfT/jHPAi12YDYpHnPbWlNTn7cTCw
OxVZkT62/GXrWyYK7VvvNG66SybF3ZvMnHdwdMd7PSjap8Bto+7A8Bgt7o+kajZ0Bc1opjGqNUaq
QuQgIBmPqdlpa3y05BH5+iPDHN5hYCLoxSpyGxz/e8Y7+P1G2uvzOWTRMW0/0dqzOhWoX5oeEAL9
O772HHMJAb2hEST9K8q2GUrrKtel9vBJ2q5xb1LEMBba/0TahkRJVN7s3euk+r/RtlWTxhKvs4zI
2ojlWQxey7oeenyufhk5PKx57/DgHtM67NGCSTuNRORr5srlMW/b0uq3ZtXzhpzJvN9HvTZetevx
wGq3fbFGWZyy9figK9fmKFmPFQD05qUiKKOZ12NHX48guR5H9no08cvjmBq6seRDm0+gFSrL4iiL
1mNt5trbszVdjjtjOfmS5QysrVK9CkVLSjILymlrLqelvh6cEEYuyuUsZR/Dscp6g4+WuZy21efB
GwuzYUBd0Ah6CAuvdpFiNbzFp4m6+X77H3FqsAf4W/bIT0WRfzg0Pl/366FhQkSkxo0FJ4AR+Pk/
HRpoKGSWcN5wagAY+W0ec7H34O/B+MM+YV1C/DaP2V8QQzBesusmcwhZ8R+5LAHH/fHQWH8mvhPe
H/YaOquGPw5kZVR0JiyAjVG76eXMMp79LQ1WKSvqzLolTB+c7AlM/yatE3tnqV384dZ0XiiI28Sg
dMDNBLYwA6vBro2HZgNWiqtBoAUXdg8Hm7BVCE9jHOj+YVXRNazxy5RNL97vw+w47QN0ifzDlSga
xPb510WTfTVSkR/I8rFoiwEMnbSOxXcqQ/MGd3sGZcKs5n3lBMWOhL69Taas3Aul53HbMngiozex
jeRfGhdFahvXQgux9VAboz82Xc1aQXH672k73KZtEwabajCsPVdGjPP05+T36qDI2peR0WpekVr1
R1ir5VmtsC2ndprYS7o5mLdJwnG2TQIXf4dhTV3lx7NjAVmJysZzeQhUm6rOYQ9Url6+THllHExY
4zHg7VC9KLLIuOUDHTxJy52pHnN6OL42to19Qpo6PrUS3CAoyPk0Jq3Z3c0czuLsggwYNn1NsA+7
KGlRcSx1ZFmCelWwXBenlJh+zvGN+GukZ9lX6RmwavpWWxNGmbHpy9cQT7U45DJsWSBI8PaXTWVV
DcYnOt+AiIOn8gBL2QARM6dKPGxjYFLSuNVdz2wTVe3pvxHD/K4lfdZfKqmsiIbLnMiAVXblLSul
9KwoWdEcO55g7smo4I99NUuhZ4cpF4FnTX1n+eYEFtxUkjH9bH6oyzZ7KW2AYkPtlPDE1OzHVA3y
mABPO4u+DDaK0t0Kh1331PTVaZ6d9NnmU3fUEnwVtEb1+ksP9QLibjjg+1dwVkH5kjpIMN6IBF6D
ccunMXynqCz28alpJx7/5XaCAJ5ydoVl7bcRPoEpqsr9PMl4O2V9dRwx1l6Pwix/SLOj60GVnX6Z
9rPLU7QcbjQOAQy6/CCyb+wNMMvoMKSd3E5hB4KMyBvgxkA/VrkL4qQYbeelEPJ2iJVLjeBcQjeR
jTd3Ts8Auhwy3pN5msfuYA0Q1ycjKa+naIA8YFWHZMiU6ywr/HBQXnFEXXXEX/fEhrUnVke3JTGf
YpNb+mMkDNvTK7XZquxAHlK5nPNt+cFeMfRnhUxhMKURg10sx91kzS+O6uDhKtp3Ixz170rXHdaf
SimM2GNbGntDAtl4cEfLE2n1tPwHUTfcJor2wvkUg7TJeji8ZbML6sg+Bo2R7O1As06DKC6G0Gzu
arsND4ZpWUvtCcCQur6VXJEagqwUfPAIvSTTQo9VlgLzSa8yvY52ZSzfC4EQEhCsPFZOeNXHhH48
s9BPAAvGjQkwY+FXauLsjFkGYT6WZ0fjw6/VLDQEMuar2eTaS9HUHVlLrX23cn3cjFF96DOVgkSr
039Y9TxvB2yOd12ljvswiYJryqCMA2u2e81sgwPrD8fnOf61TefklolMkB5Wn/RAXprqeLCXLxDW
Oq06mOy8MoJmYEyheGoK2kVMlJ7lH7qkgMU0JKeib4aNFJ26BZ1iHURU15iHE+CAGplNqzdAx7mB
P+r46iI7eGeVxxunz66Qg4AZKkF2JiQ2PaKB4zLX3YSCsQGriKXeknuKvVyq4S7R7PdpiZmIOBYP
ed0rd3nrZr6O2XuP8f+laKno2bPM5ddninDyFqSJzJD2xtT9ZtWu8DOmUmKqqY0hKLxKpHFDFJTO
HUZf8lzTQjVddl6Yzs1TMMp62+STj2z4jf3UTptrEr1zNBoeJA5rE7dmS4STKTYwlNtJy4ZDz8WF
RewQPdDc2Ht6asyngjY/ouGRoeHZKuxdgv8JxlorSRvzq88oVyn+c/IgC5T+rzdHf6xE/n1Q+UUT
WV78OarYX8hMojswXrB65o+/3W9ZArkO1efAPKEo80DiNb9oIlDwmVuZcAhxWkR6f9JEWEXhKcXD
wf0XqYVL8z9ZHRFI+fOoghBmo3aZhq0zPS8/3s+7o1EUsE7MbCO7Qr3naOge8yJ2LkWSxI+ZTbDJ
k7o6qkcq5fC4Fki25UUoFfVrCIUPQTmeHP8vCk4Xk+VJH+nB2PzccoqbljODUEX1hvFMt3a6dECM
wR0Yv3EPGu87cBLBcrFTI5/6q/wmrNk2Y9QzDF8lTG8i/aWVCsqpUnXaCKEwjLU+xXCZlRl3l1jW
prz3DdR3bqebXtpwhiaIZthEU5OeuQoTygTyJYmfA4z5rzjIQBrMuSqdjT2x99hFup7XGzPCRbMx
Qu61XhImSKiEUGhHpEYtI0eq6JVnaUINj2aSdZsaJLHiFW0ISoSV4cSHVubygtw4BCwSrTaSbOkG
rzpG53zn6gNHNhnzpvEC4Mt3vdX338G/EKrRjEDTr1zq/TiZrLSACWdb3U08BJhclnJFHsBmFFx2
nVEUe0iphF9GrUsvhjUSQ9QIVYbWNqIy+ERVODspNlc/EsQ8CYbpkcFmy8kPVaZZBCG4IF2wCJ/f
qgLC/LakKcoC7VLN1vMUQ1P0hKy7KxHJ/rFJ9Bb7o4V91tNonzPvSryX+0IfJTn5egxcyjLz6kec
VkvbbMutmrxPraZ71aoTJBRVN0G1IffXQSY3QaNWHwtYmeHUEC9mP8fE56CAYTOmWUvBT+KOXwvN
dRZK9VK1++9/h/r1EfO3m+0/NYL/6wPqt922/YVAmLlstkE4ip9TFBTSL+41wt6aibudRfZvDyhE
W4y1bJ0FjfQ6oTVuOL8nxXE9ItWZbL1tE631nzyg+Fn+/IBiIQCFWOeBR9mPpf/pAdU1aWvScreb
cES77JYtrCssdhyJjoqjZbBonqBwtYd0MK6mlwgTwSlfnDBOkRq9F+st/piAztFYQKs1k1h7SVcj
jZHb40mu9pqgcSXdx4DQf6RxPbGNxokTcs7et4s7B5tnu8+Fah/qxbvjEK7UvGhx9ESNa5+dwjFu
XEwOoR/pSbkLQpdmJXdxBEVurxubodVSjEKLwMPzNj4ZSWboPgRHFCAXUPkLXb7GVb0qRDlaEQEW
hqzOUW0i46uaVNQGypK7ikwp3g8PGq+fcAVtt8EiR9FriTIFAlzdhamRXAK5DG5oKStd6IFx/Fot
wla3alxmnsKUJNz9HgKU+ugooMMMlFGpRizOrxapjDUt3Ft8e2ID2RItzVhkNbXtzAsa/bqDQS4w
P1PCLm5AaESXwarKuatCp3yqdaty1y4iXr/Iedoi7Fmrxpdh59f9pSEKxF1XW+MGcIfypCVTf5xX
nVAskiG+bvsKNTs+umVX3FNK1W5ijGgHted3vqV2eHkgd0RZ0j3wYdfdJFrW3uW2nX/EdgWMlyGr
/xHrLoNbpc1Bt+2VtL1WjVriFESSoIPGvSwZjS6EUJQ9YFLSCBlzG895riLoFMN4k8RDvo1HEDgU
wnTdA7APgRQxBcU1KTD1AUmBm3s0yTn7Htep8xaZnXpBZwb5r3LoLYLP2rCMjo3baEcKAEaqfIPe
hljHra7btVEoPiYKZx7c2pkeSmWcGq9x5gFnV4h5kz1TCGsXrLV+m+CJ63dBQDu2Z7eZ/Z7SnhLt
WCInj3LQuQVDr7TA4xAB9eImlQ9QQ0F9TdSgtn5Tan1zigKre2oldR4+PrKh2GCDDsZNJHL1BkSw
lW36ABP0vpiL9Ct/eVi2cdXDDw4GkHsvREtm56LKK21Bcc+wycCcNqdACWkH7NXKKXdkKYJwo9Zl
0LCY7R007rp0zkVtyWTDN84MSpQRcbaM9eFtF0XBTTjSWeYTeQ6dEzbv8I63aEP3KBbCd8l1+cBG
otkETikDVHZNHJxRqXYoWTDx6Za2bpJkNNvtrAyTTrfUSF8X9pDkWp/bHkZQHnwkWkpc0ZCp9HB1
t4+i7IcYDkkgIciU1bkxDFqwHbtodnlYEsWw9No5Q1HJH8YRD5eXz6r22NjVdJy4wBGN4n/E8iVO
gdbjc1C+8OZKrvqIg8znZMxrv9PCOfExKHabIZyNfBPmbik38xia6T21hWO5r/jsk9yJKrxRY3gw
ayN0eAVYyI1hzUW/FencqJsoNPF4ALoDK2dQxjrjyS83sjLDZ21N48SfyZw1pdOR1zHX5E66pngS
AxojawZ58+9/duL9QS1lBv7ryf480Cv4r+nD3175OdYjM6kM4JyJTM+OyfT8+waSIAFeJ9D8qFmf
NYa/jPVAVGASM7xrYPuRhrXfrU4OHm/uBkBZHHRkvrD2j05Ne7Ey/dTOgsGbn2spCDD4Tpa2nqo/
yVZjRRp4jAo/7svum8MVfakoGh7APQaPGPBgoJtd81xEHbUlxLdCFlEEzwiqcS99tNUmI9ehWx8B
rffORo9rPv90aGi3IwlaKH7Yb7c0GoxvUTYRaKaAypU7M2Ct56NTR5RS07JORBb01LmysSTeBnOp
3tAM6DTnIcTS4NngTOfzEOt5cxpnIuhulaWXCLpJzGd36l4WkeRtmrHQnDuZ0HFKuNDVtqppimA/
6DFJCLGmIqIlIKGuWYkoK8aPcQlQiElQ4Apat/yqVlohDuCes8dszV1wknQv9hrGWHMZFOMGt8Ga
1hjW5Ia2pjioCCbR0S3hDqYnrOdUL46bHhcTGfYlCCLXTIi95kPyNSuSr7mRec2QOEucpB8rRhDT
LuQO/L1EniHgPZPxqAp1A/nUfaYolnSKCmv/johKfGUv4ZVuzbGErMZI++HEeSvWpIu+pl7iNQFT
rmkYsSZjqKklJZMbGZn+Lppyf1wSNGwX8quk7a3nYsnX4NQ1L7olc5M1/FqcjhZze43kKGptXuC+
QaCSS2YnCbPqbl5yPLNFFIjyMMI91ZLzmRVKVdJw4MdcY0BB4oy3+pIN0paUkEP5/LGNG0lD4ZDs
RDemsGcIBblrxCiQaXwVL7kjY0kgqZVaf2+XVJKVA2ob1qiSs6SWojXAxDIkOc5rrEkSn4Qot3b4
ylLIateBsNpNdZo/NsbUDz51NdHNUE02HBtXIY9ARfrgsD3Pa6y1f1PmW2Rq/DFxizw4VHPD80To
fdBLqUzsAP/c6qvWdkBXetjZ+XaIRfwgAbwqPKW5kdLObUfJpVWVwytgbQoXAhtcShWzrPe1YlTu
Wt0Zd+QtYtx2efXe5Wp+oE6sPzYByhOgohk8m6NuEaOMne1SYi1KO/Zp6Qh2Q+LIJ9p3x+si0I29
nZNgGoYAawRX8BdbdsEuwWd/HMndw1uu9YSlf99eRqbLm27g5B6oULwrgkg8ctF1f0zQuEl0KQEd
zH16VU964FNM377FZqKePkuELWf2g0Ixdxq4G8D6xnPtdL3lBxmluBLW0eSbwrKehyaESUhwLnBP
LYlk1SfuaPyo7CY9m8vu2lnX2IlSQjs1x7zoL2fWvPO76Vhp8MCa15l2aRVD8J5AD5aUdLRsy92g
c5xt4Jj8Waxb9HrdqOvrdj1kCfocRsVsXyvBsnofli28xTWTW0ETZ2/9sqWvSjU9Az4PtXMmxiTd
ynxw+41RFouJZF31d597f2cVAaZVEICGgDiQLjpBsygG8SoelKuQ4DBKsycO3GQHllA/Fr0KKi8p
lGcTG/olrZfDo5lHDHgMv2rjmaWCZRldN7+qdEAMW5OPbu7rsWFcRR3qjden2nCuHQ2kdDUOFMsx
N6iRh6lgiv1sSNNLcsrmvFMjus9bmM2B/59wlGOsIgr1N0f5pgG48b/WVd3/dKD/8vrPA939Ytho
MosxmCOTE/zX89z+AtR8mRqQDKnc4WT/7RZMj6XL7RRbMx9BQXU7L/rlFmx8QaBkS6dahKwoNUCh
/AcsATZ8fz7PhU6NgVg0SiRqdfGS/bymU4d4co0g9cfCLhI/qSlM7EtzpPtF0Uq2S0IzRpwGZcq7
qU3FJVZH5RtPa4tLbU+pomeixuO/cMNvRANEsmEtPEnsjc2Me6Ox59EzhpRwSepQmEHbVBehv6UD
jI8k0AkT8Gh0G3+yxg5VLbEH8P2ww4kaSSjvW0uNK8iivM97y4qbg1EY2TNTgX5lwE+mfS3Mwmsw
KO5rRAP5M+3aznvFfr2hv9ZkSx41LZWZE4x/6znQ+bZfQ63uIPjz2acevgNzBSs5c/MTlXKZ9Kgo
Xtp+TbxDR8JlzXAMYzum10cbhhsXfmuIn7StKz+JLZuOSOSf6MbI6wIrCKqte13NSVPtm9yxJo+y
2hDMdzJGuLKHtvaDUKEEAKW/H7auKFzz5A4qWy5qR+YcJAnoH6AyqM+bkfY1tP7l+zm50UYbq65o
hrHNtDM2M43eGUHoSP0u9N45yozOIs+wtTEAJAoEasuWMHh3ggoBl2CgctEM9Jx4sm6SZF/zJe40
c25vMZdQS5QqKRQTTlT9hR+ymOFpMa9NpRG8D7XBsadyD439Cg9cyWSxmPVsqOow5glhO3BTBsvc
8xjmSyEItk9dUZUvUBoVc5tNIQpDWCmU6oTusGCjoOHVwBiom4QbNTZsKVwzJuyMV//RcnJh4C3s
1XlLS1l9aU9ajCA7zyEBOlYxg8dy0oZPm+vWA7HyutnpdcaFMzMKeDwEfwKaZ6IsudTtoEsOhdXH
0ot7CAWb2pBoeUSa3Bu70mttUbZzdzPTEeD6ejnMcmPHjjwxIWIw0vsqQ+wsO5A9DV1DYq/KRnNO
HHo17zqhiw7IKBiAY4bh2IEom6PIFm3EpbgorcbxuiTRz6g6VMFNYanQvxfDLfD6qqmf//0fsr/u
Gnnc/PWN6aX8/gO5o+jibvoJAK3zos9nK1xJczHp8cClZl1dutQ/LX4uLEqWjhg5gEKzq/pdAVlS
IQ4PT5KHXNRdDRvfr4/WBUVpLTisX2yBxj9bMP7roxWTBs/95SdZvL1/ToUwWBVllzlUeXB99vpG
Zt/LJDb9rs4y9AdTqy4cC8A5saUy3c2j3dieDZmODuoFh97ZwJ3cMIuoBoGTPvQLMj1dGKnIzwUV
IPBWqw2u1qfKFt8Co2tvjBjy+jDnDIIdmgxiHWT2gkvJNSswBE6hR4HmQx+U36t2Cl+DpJb2IVLh
vu16zQD5DoVRvHSBDgi+WKHw5gqIb1dY/LRw46sVIU87eqVd5WxLVK+alPZowbRgBEO74RnBh+co
ls/elb3i6c2FVF8szHp3oddTrSNe1RVpr05uNxyydEHds4UHe89atsk3gaWAw7fKPmNjU/e3FKhX
75q9gPP1FmHJi1agfiejnGAEHQb51g6NqXyAxTJfGDJwjuzY2otYZblJFl3s7YqmMbnC+8dZmRld
Cyd+ksqYEdZZSP98C50u+mlQ/HKkRJLO4KUWYLaWigACBdQFNEQrzzUTHPEYA7TEply6BaylZQC+
TGfCNjPnR1nP4JpBYPc7MZGkiYvW2hNCpDOnDeHKa530zahzgO9XkR9LbfiG09mrofBQDmMXt7Fa
EHGQ0jzQLaBeRp1WnGLce6eh0mM/7CwKRMqySR+yGdeoWzaAvRyrOmYB4E5626BGQ+f2laT5IL6S
UA8CeWDOSi29DGFYZAjQdoizmbCrdlBCB0FnWRYr9hn369jcyqqoxave8FAEt6+H+Xgzz7mJq5q1
FxBofC652X9DhNErzrQ8hiw4qvy5qmZu9ZVihc9clfRqq/PG4dlttpH60OamOAoi4ixBRWPsk9kt
gUkUCm97lanX2M6DWtk7NTHlCSxP+TbUdmJyc2Q/4GXuYN1zndNPrR45myzkvYCrLzIeGiDmF8Mk
mDcU8BhPulRl7iOfGefSIJUNh8t4pODCebNQl67zeMrvgNFOx0Az6xvQqJjWy3AIdwtckgIOOb7q
YUxwK5r0BGg1a37U9jI2vsZlo79RFTRgsqrBfxRjswHo2VR+5kh3J8h/P7vukHfbDEzFzdg56aNd
crXPZqMA5t4aN2VKbZvXBAL7ymDr2Xf2aSRZaOKYT70oBMb1eObSOVF68UpzW+i1DqfoTRwnPT1H
jPMjkaaLLJYZZ6ReN88hjp13R7Gp6ytSVYtAT3cTO1UiS/x6xx3RtN4+zHqthxyQIa7GXLPCj6ww
RAHfMgpf54m2PY8EHmFIBffKldV0SbhJIO68zKkllButCa0bMZYPEKotgHB1HJ7xV5mXQTiBEw/0
Xr+tk3ASWHLaUvMH9ldPoRVPMztPR3vsaT6JN6wZh8csjVxnl7mxOoPZJmG20NbrPaWqMSpEq7VH
ntCy3dRYfICojyUqsJrK1jMCJX2Qc8C+hrx/y0wXqk85nSL/D1eWy/iNCb/86P7P/6Y/+K2spiZm
ploH7d//6f+3frZfzlzzb7eU//X+mr8O/8Oe8qdX/3L4UrjGAYpVQMcV/9PFZiGhsSXEmiDoUVjK
lH+72HDE4pHkXOY2hGK0cip+udgAXQMErbvczPliGBz/EQgax8IfLzZ0+iyMNkES0HBUnYjmny42
edlUmNf2Yk4omFKiKdvKtlZPIhmde0ezyU3P83ySXNvOdhcFPxqKfq6KXqtua+73jKRdB/gpH+Uz
3lx5LjNzpvKI0hmKiWJrN0nb2DR5X91npiu3ndWmIC60LNq2jbT90Kzzh76djUNa1Mo33FUy9dWA
DJ2Xqb3LmWOoOau7yTxMlDxeNyHezbCbsuuZfmh1PyIFfsvjQr3r1VGx/dqMM/ERzFkOVtfOGirT
Neqz6lYZT8TT9Lu5I3QP+rXc4o0qyy2/gvHYamhb7IXCY0YuertIjucZ6Ju6gdKif3fVqvkxsTt9
rovQeWx7Bft9QWYl37bBACkBqeZKN9UwRpkXzqbN4/bCmbv0lA/YTClRtYcPI2+bc0eRQIXo5oQ/
KE4Nf8CEtSqPa9D4BkPmWKpj/DG78fjOso9KhSgxDpOBS9HMevGd3TCFnlGIgWIc2XDs9AkRcldA
H9qhD2pXjVsRDginHp+D0K6MNG8um8nWD5obavcIQjpxS6CZgd8UbrtVS3V6mUeC2t4sxogbV2bk
V26vBI+dnJM77LrboBmGeqM7to0RUNQ+9Wh56jlqiwBGNCffDVbNd7e4AYLmN2AyOeGF3vIm8W2j
TBvimsYIhVuhGDuTSbXH5RY+1UOVXrVCRPdT1g7bxhDcOTRWkVt3zKvI6y1b+ZoWCo3Y2ixfert1
3026K170OOYJSU0DAKDaUJU3uBD63kjN5DRXwEa9iB4sahnoBfC4+fYPBv1Vo2elqXKupWveKm4v
Kr/PZm7uDWsAH3pd8+KKzKFJ1G1wuKUYyOhNKPxUyeSL4wbKfevGSumXRHK/uVmjAVEx3PuqtE3h
DQ5lAF4kiwfsRJnqOUHT32d028THyVbki6La5Ys2m/FFZtjlpSsqIKhIpzWAMX18csk6HSyzHi66
McZ0QYpEZyAZh29DWdQbWj71Cys0hpNVCPJjva5sx1JeAHTuz3WFlbIagRZ6aVa32MkK/ne0Kt2L
Ua/frWSoWWeOr9w4mRw0+6pwiBNA9KK7GvscyDfk+vCVkrb6fRTpo8ijhizFMCejR7kIIiwxrYUw
sdQY1lXVwibDY3XsnFr1kV7r4kD77XJYc1o6nr2UIlrTbJYXsWyUQ+0G9Q5AFP2J3LDpUgyWWkV1
bVjM17bFYW1e1KK+uZcdXqfrjv6sJRUyi1t9bWxUc9leKkuNo91BhNskS7mjsdQ8dsjiT3Ot3XRt
TwVkRBlkA52JXkjSfqMfrH2RkzbgYu7hSQQb2Su5BHo42Q32hYHdIzrxLjfkSFlXWYY2NeNuTVi2
ZfDIl7JKcwDcuBGV3Tm3Y+PWFF3xC25E6TBcuvmiX5Ov22ugGTIvLtVhB7ulw41r5gIMLS5eytl0
p0sgEVI/WV5okV54/ciE6VEw3O7ntsTu6ML9uJ+HYar83Mw/sAPL7zGj+IcyqsjFnPeFc4WgzLgN
kgyDNuDXzLMjIecLTPhNuK14vFI2oy3gxr4TzbYHOKnsG8Sxo+Dxaz4oRUfNPJdx6GxBM5sbo1hw
s7Nt8/zA/T2DI3cTRIZOd5ZTYGBAhAyW2OrNOC2P1UKN+UvzGIDKN7qcw7MRRYlPilt+ReqItSse
QspVznv4ogbN5PhGyDPca+n3vSN0Vp1tpzYvZZsl27gxqKnqlHrLV+sTOB6THQFTy/RgkwozwHNk
JuNjMqnmi4hpo4I+U0XbzizbyU8yGX81Gkf7BpFyqXF3ynet1fF35c3goLsK29iaVgw6Ls8q+l1U
JIRXlSofPxhT/G2lCLaCT+d9sBTD52pXgUi0oRE0iNveINTmLFlC+r0Tjl//Y/YP5t8mRv4rZRA6
fi/zf13y/joN8frPachh5sFNTM/sApWgJ5283+cuwv4CfYLsoGtAfyYo8tOe1/xCYQZz0uLF1PhP
fl7zGsu6kAmJ2gyiwf+scX2ZuP6o2mIERa5d4q2sPfhZ/jgMYV9Es4B2M1mGPrBbmxVEJBAxFrrA
HDj3Mgj6+Vojxyt2Umo0pqb12J6ZV/oLOZrzm9ZWM6XpqVBhJGJpInmlKGenJEexHVlE3k8VROJj
vy7G+PSKH5mcMUto69asXTdoVR6MB7ekVU2s2zVj3bQpzSxPsL1ZGqvrLi5U6+CHsdCTnXVP10eW
c8P4xEkarZs8ZF7HBuxijmdL6wGGR2lqd3wuREdpkhHq8tClJWYpOOqzN2dN8xSQIoyXD5xjQf4u
KLHLk+XWHDXAjFjjFVdgMCrBPXTCqdnkueV4tdSD/L/JO4/lypFs2X4RyqADmLwBjj6HWmZyAssk
k9AyoL/+rkCJzrpm2Wb1Ztdq2F3FFEWeiB3b3ZcTJUuMLKC98RjHvL7QXAyJNjXXhB/hxoy7oTc6
gJXa1OmURnJ3B3hp0vtFRJDIMFvxVKHfNjoQb460Te0qmw7+JultO54+12L1mrYUSuM7HWQJQ3L1
o1Z1PDGvefmdXP2qbCiHTzvU5ee/5sOrqtt+vTx8wm3x/dfvGPXFf7xjjN98logAjVw+cz6gmT8/
uQS7DIdSaRLCJj5Fkvp/PWRYMPKwQMVj+eg4fLTYSf7xkHHZSarAF403LlU4GKD/iUJjKUb/z59d
9ZBB8sFBqfYPLhPj3z+7ksOl5uRB3x24ZrE1THewLeMHGFLOIwq03NLGBTY+lpxOGACG7nOqZRPo
YWcc2EUVDy21kuccc/AuqVw2BMxL7bnU1K9ZLO5X0zq4EexTGHzn2XLzYwu9b5yoy8zd+r3nTLtP
aSX16fSdW5i7Y3ywDW4+QaFothWGl19pKYv7stbdrYFO8UDmYdiSo2JNZfqI3m1hH4oohTPDcuIS
s+F/SHKv/RGnvVttiqjVv3esKhLRmgfsVDYWaKO/zkrTwPoVlwABB9XVGxiRPTyS2Mqu+6YPH6tC
K24WmnTuBb33/AFLujeS73mm6ZjCaqJQCZ0iG0p/jUBH9/3Ss7xUJiejYiry9faH51eo4n7fXRw5
No+O35E05fw8xsj07Oa8DrcVfMGjY2X5U94v5Z6d79YuvG2c6vkx6RqjhVbI/oYGSsRXS4fnYvUj
Z0Q81xcjMqsrvzbiu0Hdu0tNQsPPLf1M6yburvWCLtVdralbG+9G8ljPfrhD5Z7eAL5T76XuebNx
ufIRwLj+mSKdbc9xnAIyXgcENStMamoYWfK8oWIlr2SkGCriaiHUaruVOqzU7JGvY4i5jiS9JiDR
QxHEiDGqqcV1+/pqVJNMncrpmDs4PDlk3UOnhh1Hy8UBkSR/btc5qFQjkSjoqHWyXozXkZMYn5Ya
nno1RsWyq99hreUJ9SbgoP0dTTa+ftca7Ojwp2Kk2MJrYTLL2Cjxs9NEebG32bWRCF8nucJj+GE6
jfttaybCeRpqzT7xGB60g7FOg806GTZqSMRuzLzorbNjts6RkRVlbKrUeAnMkUkzmtXUmaoBdFCj
KNPsp75Op+k6qdq8DO4HpITsUsqyfAdLYbxOJmyGnVq9+2dhOvGjz7zYUF3d8yg18ZiyNjPw2/S2
9o0bGDERl2UUbtmfzruK1wOkMGGkxa7raOg9WPqIwtRA91XFhI38GNzZuO+tuXiXzLkXkWjFXc8W
743K1sXcgcYT75HdFdd9Gz1SZt7fDokQrwKDZM7abSKaadP5e2v5g1dsMzsmYYTQ+JkPg13vhY1F
IRHU0rKZlVVyK2ig+Gj6iah9k2vpfRrXBuwMY4nFxR0z/CQbQQ8iUbMMaFUwoFzyTRkW4d3asIH7
fclc3V9Y06bTnUzj9jzkGmHskL6Ntx7o25PhDyCGM392qiDN6dIm3w8jOMDPIIg9TFOtnZtG2PgG
W4tKQOHnINU0huDbyJv7I+JpeJISZtSmKrXG+ixa2o+f8sFZcCaTK4y2YMaLKAcUXOflMc+hCdCm
CSdnKLQKjqTsin5v8zyNA8LaSUijUptSN1yXxFXFZGJAtRofuEIStk9klpZyW+tO+9o1SfYwGVCj
r7yiY4fualb8zv5dyk2Lydjai6z0Q3SEgcCoq5IHnrSG/SJNlFUrf68IclySxtS/WLF3T726WshO
dDbX1ZcuH66sRbuObKpiIxsPBpPMtQnzMpgNaOS7Ejj+dhl0/+DPOIrp72u0G1tAmht4K+zHYSKl
5TdOCKI/Hyc+I1b46LfDsvW1bDk4c5k/iEHSPgtvgodgBbL3LZH9cjZpEjtHVk+Kos9FeaKNqC0P
OZjMnfJhw143pu1UL+01od7uQpCYGC9soelLGZE22xcypIyZVc7gX2VVaW88mRMZzMbF3dRDqpHH
z4sTzCiTk5yPfX7N27n5HrUWjSwuzrbPnM82KP4mc75Kb/wUVQ/tKmdHzHeio5I7dcQx7ezuipBn
By9hdu7gm88vEyGOC3CUno5C5I4tVvYRqOWSObydOqoYA/oAFShbGDnud3M64jRrMPeOtYGqRgX0
ZhgbWu/nLs+jba8n4iGy4ULVUaVg9pAPgSt0MUTZhM36VnDFvFg202HT9c3BFT1ZlH/NtKXgP7+e
tg5V8f3HL59J6mv/Grbo5VN6KN1zWM5c1rK/P5NYDTN6YYxnc/wnru9PeysLZYO0u8rQO/BP/yPZ
+pQH2vy/VPyqbS9Gw38ya7FmZpb6yd3KrAVEwfXYXfuObZA24Z//5G5NC2/IWgolRWqJXdw11bbs
pvxiGhMpjQF8bTAV0CRGJoyttPoPY6IwqzRFeRMahXUSs2XvBzFwPJnh3B6WaXFe69jqbsqhK06W
zf8UUsDyNTQDoQZEBAHSbjikcZddOpN/p+XsbAJhDvXLgp2XF9S6uDG07gbC+Lg3161MqBY0dTXE
rGSd/rD4fKWsHd41tOu0G4uavl031Dq5a/Y7NIL3+EVygRl3rO7Q677nMSjXPqezHM3RGI6x6que
VXN1DoN8y+XUBYbPH1KD13ZZVMM1HxcRZKMqeZi1b1IrPDa0PRu0kSacyYt2Q6WV8P6gGbZq7tvF
aTkGdj3pW6f0WbQjU1ENsLGXkSFLlWvnzvgU2svj7EAvD4G0lVE6bj14bDt8vwnbTK/e4OBtLuQ2
Xmhm0fmt4ynQ2gRX58C6qejjjkW9Z+zo9PEPlCzPx8Ia0qNG7cimWEJ33y/kb3AnJ5jdZ402c5tp
w07v5tHWCMaAE9WyW9yKOzvuzh5m/G0yAjU2zHjkTqkGusTZsLxUrKC/JboXsXkxDA29VMY3OiVW
MFn8wntyfCru0VD7bQ87AGS9UqaqCeMIuJxyp1kVOllomT/yUMoL26AM+z8dr+j38ztBSH9Hp1VD
dZpO7nvu2RVbCOR3syzfGVJCylM6a6OnE+92JZJJVp67RMJJmFn/niLqCA4yWhyqeVvsMrCClNNf
6WtQ4PNHxmwqXhLTii+areVNUKMs3EcpLkKWq44aax40+AhPltEmZ7QA43myUs3ZmrNLBHwezZd5
LpDBKUyYg3aV+jSl+mmrAJjjZL8ulCpIrPFxyklWdnlxRsfOr+BpY5vs0FNpJKb4gGrNIKQn8ZCn
A1yWZHDmoDc97bikC+VJWlNaX/uejXAA4y97XnxKeb3CHPUAfR5poInAFORhd2z5j79pckn50uL1
N3o/YmuqdONQu3N9LEVF7MJ2Y/sD4AulXobka7qx748sauorkxnsoSJVcnbneDmUPm/2vIz5wBVR
M17j3gmvmCT9mxCB95Tk83zok0xHsKCyFzGFIHvTtrtxsKm0yeKZzLX5wXtQbZNrg1IHn05MMfVt
Q0iGgBfl1NB+44G/GnWNysnrlv1H6Vsfg8xYlFDK4F+NaSL3lp1ytXoWHFsVEigA1JblU1KmHevV
KcTzgY3Xu3V7GyHPr9NTZrHXhIUOWR3+BjbsKY+YFgHmwAd0G2ePI7U5hSxldxWVGrshLnnvLL6H
xVeLbuFDi0Nrkc9vZQzR2hHaBOZ6Lp90ELgnkz5hWBPTjLBlh7m1qaxioH4hLF1VGHA/o968lL0j
z3T9Jk2Q13H73GfO9J0gKEUCsEZrqFBsukjuOBAoLejNgY7ozNkXTgAc6ngR+oHKZm5qNVjLvq6v
yrJOLq4aua2uaB6a3ICvygwCS5S0DzjN3LmZ1Yhuuw086tKZHhqPUouNBASb/H9owv9H1V4Va/z1
tf0IvKWrfnlvqy/+/d7GkarkWsCCQgCGB5H2571t/waAw1Hsf4g0pCh/oqnhtSJ0QljE8GksUErw
X0sSNGK+RkFzhOBqR6D9Rxf3Gtb86eJWTBxC8Do9iKRcLFftdX++uIXm1D5v6h3EzRHs1JiVRzIV
V9Cnp9eKy+YCXL36Vo6x9g4IvLzibzt/H6EU3vQseqhsQ9YVY55JLOiZ8dRKvH509DVHNy6cT1Vz
wmHiNMYtLCyIqKILzy5a8CWqhpmyWdfZz9owf9V6K97lqWW+NfjAt8AmbqrBzDfaGjArevLVM2PR
JcV9+tG7ugSbplJp6E8E1KIqJKzmNDK8a1WCDeg3cu64BtvENNEaLvTJu4xAIcatdGqNY2aNxHVr
PM5fo3Jh4/Is66vWDozRI0y3LJPhXSF/qZDdGrhrCr3RAp7j2WtviGo4JGs8L7JI6oVraK/C21Ju
9NZIKNxac31rxA9dLZVbal5xOXI2DE/eGghsjVw8tik+PorpSAzma3iQd4L40NZIYVlKo99r5mLe
z2voMFsDiJaLOrsv12CipzKKnRVWT6lZOe6lXZOMo1mUVAGkIcGQyKZ5h6VrEv5we9k92d6w15Js
Ysmapw+5luCmmWNRYA8Vi/40qCCl0Ba721QqXhmvSUtLGMWuwhp21/DaOVMKgRxYFj7P9Za+HSIL
hDanUfrXgwpyLirS2alwZ7XmPOM185mp+KfrJ9K6DvW2/Bz6SVIfo5Kik5aE2WHwc3wF9EbnflPu
W8cZ9B8gJ7n5NA+398EWIY3IzLSgYnaou+l0syxETK5kgbK0JzMSAzs367TYoNjVyw4Oh4s5zyq8
9rqx0nbh78DeklsDi0wQZawwtqWR1A2+v3wBxhczUFaXggfcBNRvSfwdq6KKldA0hfJUtZzXJ8RC
siT1TM/gs6ePjF/D0Dw5VdQY4C0L/VWK0aq+JeCqXXhBxFe2XuM6D7YpqRCIm4Gmo7abr4dGV0WQ
enYcfalYa1pG6srMI8sJYLRT7NEg+ZlXacFaaSq68tpoXXGa81YcUgqhDiO89S9SoIaz7evzL9oc
Zl+yyKeGaOwyKqKIP+zLnIEDOmfq8hykgMLRahbsGUYsSkfJKoIHcsKkIqlcu4CgMH4HXhNnuLgj
a9uFMV4tDyeX3NBg4+6oNwPc3EVzLLc4CZ2tH8/2cZLEYoIplvaj3brGGSaF9YEJfLnFf8U+RvOr
6b3mZ/mjDTuiZoQucPoSygqTvbuYIE270KqiHd1JKsBi9xsxc2pCGGh0CsFE4Z7oJ3HOg8CChafM
tQ+ZHSZfMJZl89nngT5AUdDlw4xyqwUWUSo/8IqYR7bIK7yynPTKsRT9qO5+Px3l3z1L/+t//r//
q5caF8mvL7W7/Fv341v/61uNr/7jNar/5rLNNXySGQQuFPPkj9eo9xvRS6UJIOQhDFC1+Nfqn4cq
/lS+SBisvrER/udWQwTkngMrAD+UK++fvUZBPv2v1yh3GTg6fkDwWKnrk9v450utY5EhFBxTQDUs
9qb6bLBSimIrSPCKsqxz/EYQFoR3BAB3bLL7pExkfS7duf2gyqtJbl36nrxt6Y74GPzS3k2N7tT7
uvWaT33u52exSL/Y8vibb3udKHjgravFdqm8137dN7J4jNUGEoFQvIfrWnJQG0otbcq7Tm0tCzsu
31MZGvc0a8mPdl1vlq6OTVPXw968Gfuip/DDNvtdSj9iuNN5+pYnqqy0gjhCq1dHIp+decCe0lDb
O7M5PJkOVTyIdVHrnGuqMt4mD119a7T4A27seqALp+1si2izbj7EUuTf7Kmzn204wF88g9M0SEZK
hQNn9saW2L3daDu4Mf1zR2T/jHsqAtkwhxA0U00Ac6mgflH9S9sQzcIcK4y4yhFxE8aCSZfJ0gI7
ppVNeopn/+wUDpO9iKMuY1lqd3bgtK7dXww9W7ptREtQz8ss9pOnIkvCV3qGqTvnYfwsvVpSWmyP
2g8vNPyjjHTCCVGo1c22wQbhbljdfVZQ3bKAakawLPD9vaPj5GnGbCLj5wi7s8PyvOwOVtHU5EbW
JqPG0+pdDrPcv8e5GT8SBRPPoao/Ek3cPUZlyjuMoAuHJl4WhSln3wVy3KRCiSe53PSmVd1SX2rc
aiDIu2299i6NjupgIgNLH5OlqplG12zOcu1rAlTGIRirGic99KR2M6amYM1om1dlKGqXLBsJehTw
acQnKy1+0Pys/d52RnEkmj6EV3PLlvWqF254veBns2jBw0EacLWXNlUitnaVkUAVwehyhcNWbUZ1
bObGDe/GcZfren2VEe645dtg9duYDTTNlWlHowESDXiq1o8wlosxzr5ms5fv7MHC+lKQp/sx5q0O
K4dCamG6cBBoTOi/RX0a3jatHR3LJYx2cEVh3ou86L/yzhxI2HmFZuzMnHqY0PKEPGlaCx2nIc/H
hzFEzOKnk235v+ek5p3w65P6Vvblr49pvvT3Y9r5TWe5wxND1Zcp5Plfx7TNP2FjqHjNhOLBw6Dd
/rE0JPjODg+nKcenIPChzva/FFpYqYJfb417qMXhP3l8MKD9/ZyGqMU1sR7UugtuS3WQ/HxO0ySa
h5Ykcgb2974LM29X2yk0RtGHOBGWcBflsjjKXogAGsYCDzYyr8gH4BHKUiqFJvOm1tn65SGyQ8No
dm9Ngq6ujmoBny278PeEHzRGK5gmZhEMoxF9ozrEI7gZVXDpJvPRLvQ3KrqQTkMazQ2rof8sxzYX
Z9DSM4iVKE3G1h559dOpjnzZUOcD1mI56vCdbsrcazY8XozdUkmM1+m8PBAAhODZd/UtmeN9Y2g/
Cl70Z4Be0wH8ev0SzggZYUqb2kbl8Da6iJ486ezMJV5OYclHqU2h3egpu6cIBvx+WQx/V1bxLh1J
Hg8DLttq0eTRzI3k3C482KZG7UfYalhB1nrDJhlS6zmhmpEEK10H8c5vDXHdRzUFnUIDacE77tho
tAfZbl0Ue8J9nMi+X70Ro9POrktaoQ8nb1uR3fhqTVZxwzOx3BEn6Clq4dW39PUbVbnNYbGs8+C3
s9KRByz6Uj9Y1cJnPq+ks42Gur/u67G9yuYWR8gAN2eH5mkEbeIMX/XGSE45FpvzkpTmyRTLWzPH
5G5DjKYXOM4lg2lMUarIm6dktK/ruLgPx1HblVGVHYi/kPmzBn6fFvaJ+g7/aMzB3zJw6gaDq/Ha
FxLCSM0Bq4eLeQWrZTiKFjNKPDr6ZarM/Mq15+FYZ3FEpf3Sv+o27jASafoBAOOTSEZWtNJ7isRY
HKNMPkDYzImFeC2kzAEefrFEWAlG+o3XCDKlJzfSp5yqj7T2zY5I5jV4ftHC3sjtGQcoIsl17Y7h
CzE96z5XmFTL1oythPZ15MAeAJ9BUeWT6B0WUGn7pae0evGmFkunPm4XA6XK0NJv/UQyqOUK/ADa
jbg207C9MWp+GEc6uC7a6IZf0qm5giQ3fYpGNueMApEN7kftpFFwfDdENTbqapIbtnPIcXxIux1N
J/ojSzK+Y14730TABi7LZHa3dkNHC94OlrjwPdlCEXQKhN6hT9aNB3+U0lLPbbSzN1r5o23a0xNv
/XZbjYBnmzh3friznz+kcrxnxJju2hgEuCZqO6im6FFo4hWVybqJxrl/YJ/sPnQcX4fQKYZAKsgt
H3N4t64Y/Wucy+O2I4uABgoPl1br6jAQYNlgZjYCw9G0YE6Wr9WULAd4clyjecLBEhUalQiGfZfN
bHB7n8bc1jXpaBmp1S2H9ktaefKg89ngQd5npwWhcN/K5SND0LMGfmlfhG9z6H1mOTBOZLs28BTT
d05cuqmzOOdRFMcbrRvlk4C0S8ELP4ak6bItSmx55Jk0bmNat3Yon+VWqnBJNnc0/A1LcprK0rqh
hkFuEyTxYAEMH8x8hLegdD/sUbzz5tSPPW+7U2kuWEhywcLTNa6ktnySB+JbMtEXrmcZkCxsGGWt
fbJOvfH1ZghwhUQAP0djYFLiRJ0y7Wnim7nFv+DsBQT3j9Dxwjsja4ZjJfVyq1vjZWnCPVA6kMGa
Fe2lRRs3lJBio5scXmWBTN4sMP9kOcwbWEDymFazuR1p0fORag1woJhNrkfFCWG45vHVvvZq6QuD
G7MKX9T5+QVKxHxuS7qBSCztNA6fbZEs0eZfMw0oPe3X08ClipJfTgPqS3+fBsjNuzytfIdcJQZJ
Xlx/Ptqc3yzT4MoHIMcSEBQOL7O/pgFOGR5lODAxZLCH/3kaAChnKb8WA4Yw+Nf+yTTAsvHv0wCJ
T44EIv38qg46ooKS/zwNNOEyhhFkuNnreudl7EfzkNZJigGKTOOuEmk4nKhFWq5z/CNjQPfQfDG1
iebvlNKAfBDTCcuo9u5nmkH8zEpH9OmUTuJ2crfmYFTfGzt0DrigNMSKht9JY5nRB02mV/Ve1ywA
b26ZtnfO7KoYCGBko9YkOoIGvs2uFhjXTmi0GAqwGhBEx4sosFZZDU7YpNwXPIqf2qVYPjS7rQ5y
FKNz9nOtObVcSa8ybWP0I1zJF2/sBIUsBYTYrZ2yHd5JLsSHxGupWqFgI4aJlYw5LdpzbL9QwAUi
38aIfaPJZYgeKx8/140oE4fizThzwq3G82/aR5EXAQh3zfysZ74DsCe2MZF7Zh2l33R71qtNGBua
VoDmJo19KJu5pPsy6awSlzy3Brur5LsGQRAE5YJgim80W7SNUSzFBxKwf+sOoe4SVuWC3kSVlTXn
om9jnshlOtxY9WIjrzCVnRFr3EMR68OdRTZ/o17d0MqdttrZ5TzcZVaVXEAWWE+2v9A2A3oanVw4
xzHVx5M3V84HodL0aA/acG8sFgk3vBc64tIQ7zLKkQly9IdsLUye1/Jktsv6db5WKmuqXZlyQ4qW
5Vq63Kr+5Rxfh/Ul87SQnps5avdi7WmGeYnUUnb8jeDTYFw9iJjlH9CEyT4QmrDkxh3kUlzicdbg
5mXdV8AiAJFCxUaa0VjBnZoAk7wVnjStICUEJaBK2gJfqVlRSzolbJcQWwwAJjeLFIwpBnOQ5dhb
TtEKbDIVu2lUFKfclToHOSfhPQXtYJ6oBSMcGs2F+OTzmD/WfgmAacodfnRLqZVqN1EyGRQ1oi3U
InpkLY+Zx9YG71usF+NX0LE57z9s9CzobQ3tVBf3zLrZdTFN/TXr6+XCUmA4GIar19dtPmcPndUg
eWWdlXxKKxs+usip7yUBKTOg54PeIWksD/wEw2ofHXePo947uoYWB2ZttSeBswsXXGgDn2uadBvb
RET63AENYFvWLcsW7cgKGkbCWORwkvSpVhUUP6YiNwN1Z/K7pDgV9cp6GxpLk3j0JMBDsyUlF+j6
kjyXC7XlZaVwFFhYBuJCzPztxhmz/ALKoJk2mezkudU7fwnwM7nnMK37C5GJ2r8nXcL9Y3cm39/F
KW+AKey0sZ/wfQoLNCA1UQfbmqIbgJBZuyk8fU6D0Zi0tzRLi+y2H6ZkvMmbzL8LbT5TQdF19hec
ArF/CH0rPFNl4e8af9DaTZ4bafeIXch/jIhzBpneN18WXboLD+9w6q48ewn31Ui/rLDy/PLvufW4
a/7Lrffj+/f/cu3xtX8qcPhR+H6hmNEWxI/Xn7eehW/G5VGKm9DCo+xYf4MdcA+hYnHtGboDnPGv
NzBbTJgvhuACdWg00uHM/QOOzLr0/Nk5g5aHW4Y/loN3hqYwj33p3269WjhOxKoxpNy1O3SIxvUm
abTyfZCj8+Ro+FMJHg/Rufcbd6e3HjOrNUwDzd18gG5rbbLOeSeHl2LUGWLdPm6iO2MC7HYN/AmY
VIQsbW/iZSk/BTaShEdRyidpwtCR0IdotPfL4Fk/MD5G50nXkg4acOde0wiUHBs3tXj3CdqWsrFn
YHesZ+yh3Y1uTD7Piuklox3zAKNY39iZz+Ohtgk9NH5dvHdxV72HjPh7RCcGT6vjQjEb/iZGm4b4
iBMXBoJYrO6VuVlhDHhfk9Gs6vIKiYR/pi3NdOsNeNo2/Wz7JzzX5jbxwwEyio4imPQzxcCsrRz1
2fbyE3xqGR0URLYIyEotNyEPFW4xpmxY/o2WWQEJx/axz5rOuyFVF3+bU63AwV1RmcGB8uKjxMMn
AaaMB0m6V6UTuVe+bod7s+D9RygixUjC5vTahtz8zc7tbk8sqt/pLIQhcxOHMp7MkgsziG09jzdw
Z4z24LIquE5muo4MiWvxKumb+QqYvflEb3JyHKhqm3b8eeRbKCQ5PBz0NdJQlsXPZguac8PimbZG
PXYACxi8Eg6zbrBdtW16QpSJiGrltiZa37XmnPNiKRdrNxdj1V31Rb1cJbWwH8Cwxl9mXQdUKWny
ZP/aNvM31DfwRVkn2eTOBsG+aYVduiv40lMMTC0t612juJjJisjUf8dlruhMwoZgNCcfoma/wjXN
FbRJqQjQzdBykxvfg2ozSgXl9FdAJzBfl6tZwO00rdJ4nicF87QV11OYED57ofytvuJ+llWOF4Xy
g/qiUnBw7xQiVChaaNpyxQdETJbNzJ7r01JcURPfDlAjBRsdDJNOcBBCQEgNxSOdE7439G9AKSVW
Yh3tes43eWnp+9quzLdoQIBu2Lt+nZQoTah1PgklVNtKsmY2xC6pZOwkbVG0CWXan76SuaUSvOFQ
6U9WWqHxSiWI99HkbQYlkrMnnb+LFp9WWs/he9N45bdayeqVEtjdGnerktyncBoc8kBoVVkutVt7
FbCWVcxiSyEf1J0/bNJV7spaCa9PaWD9KoflShlbqsE9kVIymhOm4NDcLlarBN2ae1WzaqQ1twQm
tczovfsob6UH81ZJcY1S5QgjTu8uUqS5w+u6YFpGv2Mxb5yN2rYf/cRR1QdK6TNwmW5ZUUCvnVcp
UICXg8+Rp5KYkBILW5f1GavzjP9+JGHTVVZMVokxXOVGnVYwpEeAEdRgT3Z8OyltslplynCVLCde
uC+50jGjBUWzMET+RWf5BkReKZ746OPDPM/iUDuJd8I2UF6rmqsjIVLkUrYgSKfWKqPqq6Q6MveX
UEMESqvSXE1pzdfFIhBiLaXJelXhPoSrUOvKPnVByCgBV4yL/uqusm4bp80TDVxm0Kyy77hKwFMW
scgzwOCzCxBZH73VrCmX6ymlmH7jjVpUHftIYG2zmwIsFQD35J0osky2xRRZ9kc/dX1+jrJhzu6E
1nsYKnqXw7KUDcmTkNZEkCTztIhj3miNu2/0JeOnlqItmoOLSR8uTmwl0UZiek8OEdgPSDFJ4kzP
3pCWKKyOAx2aNHJcvE1m2Dn3OPjy8xLGzXkKNc4j4S4pKH09tsu9NMrXEOcEOHk707VNlUE+3jHP
CX2X0QtLiAJno/Oum2H6PWOMpkOutm6aAcSGSl/pBT8jiXHuxsgoMJEXinVWGi2TedgX5aaPVDQ6
l5Hnb8g2G3cpzebs98yi44Sj19XZhHnHEd84Lrs0MM4B0VQjvTUk+ya+ox7wK2+YKDYZfLO7yHyS
9xXLQ+/YVmGUbcpmwVZIztM4D1TvLkycRF6psG2tL3XtlFgOudBGavEcMr2DFVX/HpuyarT49bB1
TqL/BrdQX/wfZZj9GM8a36Ahkkjnn+OWR3W4AMsHCJdwpomZ+a8lA34npAAH1RibI05mj3/0h+TA
uMVaAPkCtQoULxmzfzJtmcxtf5+28MthtoJ6Qbuly5rr79NWWqnd+ZieGuCPe54x9DmJmrAQmsAm
9egs3LhRhf4Vet6wpUnQysjZ+MMHhlgC/2E6+J+sQtsHXY7ujYEzZFNxvp1KlxUeg154UrPBc9qN
+KN02Y8kN3w9yBZj2RpFdFM1HmnMsQ1HefFEUd5Fkd7lh5ZE0Rxwc9geNUye9pK7+uyxWB5nHyyV
i4Y9TjRKDGamv9FM8dzCb6g2bSubb01RJ184rjrYvnGIwm118tL7YjlZ7lDdCAauclfqQDODWs7T
HdD+4aHPRgy5lUyHnqB1kp4cQ9jmRiuNivs1gm63W7gunvtJTTKeVXsfg4/VlIOyfkhCiwJusmHR
np1t9ZIZTau/GIM1yf3UTZ79OKdl9W2cx5JeriY298ii08acKh3NBgsLavrYR6reb9JgiiLRztC+
qdMOek3q30Mxv4hyGQKfSMFLKxQGIRFNwnM3t8KRpYTFkogPdrKpbaOAStAO1RkyaQTAwPW8hjxI
zfIW41HiXNeDZd859lzuPEUU8tM6f0Yrre/CFThkK/YQ7nV/7046eMLCQ4/yMMcgl5rjmRvXfHcV
wwjqMTatfAJNGFgr5ihq4+kb2zT3OK0YpFgRkVgRtHd4+xhuHB9ekiInlStDiRvjuVZcJa4YW005
PRW+idO/RFhkMOkqGhPhG/uJOQNEU6toTS6kqHOhCE4E9SojGPGvO4RD5vLdULQnzekqAbCez91u
gpAn8O90wKFSC04UmEeQUZ2iR7mKI2Wnjf+s94bxWDcgjAmJzSBON23eh+ZDFONIutJVj/nIBrva
dkOZvZhu2xqbXHQ0pYAk4Q+vF8DZAl31okOpjT+rtSy9lcgS3IZEc1SXuq1a1bOJfvVONa33/Lez
NlnLkmproksHscdsHQwEtt5rVdgOaKVPd17X0uNe5pNDiWhEHJDqFIQgubTTTq9zpTc3bnbIFEGa
n1lVDU9JfN+L5gqKFw1ZYT6VtDDRJs8jSFWpryXzjFvR11k1zyeqg55ziDp6TzXTU8uWHSOjHy4F
NF1+KEMnPhE47/0N3idq8mQdplegz+Yv8xh6zzArrWd+Tm1WQ6lXh+rRbz6HLHPENi3wTdOGUCf3
fRk5+9RmP4DtzPlAuqerNJIQDEove3VHI32OzTyFC5p08psv0qkLktTtb+escY6dsIt7zRjcveCT
cgvfybwpWAOe2wpMx5BF4RGff3HH7eXdTlWe3o5RX56yFFuFP8r6k3te32Z5aG94PIZfRWoPr72M
7H1rYEMMhnoM77EZj/M2G1x9ukArfls65bG22KPCyElQUdhRQFqBbns1oSQ2GAty97XmpfVepjjw
eh4/nBDNdIXbH7s/9X/Zsxb/D3nntRw3lm3bX+k471DAm4d7Ijq9oXci9YKgSAree3z9GRskVZRK
VJU6+0FxixFtqkgmmEhgY+215hyzCDFgealq4vv2jMe+11UkXdgIZwnGik3pqpKyMnzZPI+9UGKV
5dzTpHM6AoBcWz+PSPFkP9XZ+ROWNPOLE1na/RgN8UJGhXeOAkY9odxhHiSZQxfMKX+bMyXLOKwP
dG03NhViaaYm6ywN+pPIsxOsrLke4UkK8niuGa17bFeDkGQwm1tzY1c4VZqRkVsXsgXzGxQPpPJ4
9UZyC2dvmMCLZiZCsnXdVuq6oofGeRsZFZ4RJ6E36ziQ24suCCDLDbQZznyccuosyW0PnifMVzzD
dbpXuC34gczyMFtCms4WZaBzH6V5pZUUy013ogymSv4cxMNLydU6JHNjeRYXenDeD5M6Q2skbel4
YIAWWWbpj3VtYLHAAKMc1bT32PE6Vm/SeeNX/KGWH5lxO9E/qMD5qaJim7yv5haIrNcRCqQtuD2M
PDRL1WBMvFY3JoI4R4bnRU8Ji5aq8DsvIxTjA8p5gR6mzwNtxHgTzWN8QEJnYOoSMjVd1rRfy8Y2
RPnyRs3NCAWvvcWfZgC/EOLxb8ubpicSL7CNOSRLdZ6WUFJ0w+lWvt/a9GUd7YTJQX6sd0G1yeRW
ga3elv1Ol1X/VqNxLBJFeAjDM7/0mOuuhshDeBbt1YrJzCxz5HjrOgGZoTw/5y1TjlXtBxGi6bQ5
4+2l2LOaezYe6a2Mv2PnJVm7ottkLUupdDehqhWA2c27jIyrGYOBckOfNf8oEfOywDym7E0rVa8x
Z5UrJsg3SqNRnvlJgaxMTuag1ctNS15fD6Uxnst24PFXlvZdqfvGvtFq53gk0nqm5S4ALW041RME
AX7pe7uUbO4jBrPZsoV9JM3KrFA3tZ9Le9PG8M+2olri6g9pLWjjJrVza5u7JrbiDvSHHcrRnakM
/mevMb6Q+JiceizICv11P1spSgYFxLOR1lWZv7Zsl52FUZBWNFN0udrnqUafZgCYsSPEEptzkV8D
tGWflnUZ7ShTz2ejGdIo6hWUK0VuouN2iDPQQmTsqNjwxEtnZQw6zJVT55ouhrQaUzd/MkJ2jFSV
0DxUZ03J9on9YFVtDJXtJJ43gmtjtOGnTlFanwyzUXcEwALtgCl5wsCFcPBOqSEC9y7eIofpOvOc
62S0taOcR9mDzkTjo1kU7dqp0zuswDEZBlATZpQSecNjIuwxjIYpJCA9eYAPos9a/hnF9TDugObX
57HqNQ/yYKUrPafrgv20XrkWzEIfIGaRdCeDrRKBauBVc6rwIyLjZi077vBUqyk+VESATH2CE6SQ
SIvtcZ51xVE0eitoDlCLEqkC0NX6u9TyUK35dUivjeeuSvi4rUbdP6eNriOren9nt3p6fCrv43/N
7xn08b9XT2UZ1Fk5sOZ9DxAWr/S6EGI2ZZcH8N0h0IatzR8LIUYXA7IwiSdMlVksvy6EEN1lrgMi
VXSDldIStJ2XbZ79gQa4WAh1W3APf00ArAu36bfLIKnjOhkrzLRlSEHf6cqI4dE9J0yXZWrSYwqD
3sSHX2gEitqV0oYr4gujeM0s3Kp3VqZJjzZ0bXfey5ExbobBNT5bbFZQcqa1jeDSD4Zr9jyuM1cM
qzlqHCOvN00hDfI5BUK1MnqED/6sb+rWw0MmH5eWjBdc62P/hs7zsG/igOY0IEGKlV5/IsDUJ1Q1
CC115teefh0WpXmWAQQpV6OifpHt4ajxVdMn04iuaj7rUjT/865XBvh5I/fDmduaUfillTwl3etu
5bBpGTqSK8L/QDPx/zXUU6c/8f7NsUzZh74rrRC/+3o7QMKZ6Jw6oyRdEZyoZ3e2ycNfMelsQO00
TRP+/dfbwWKQhOMKLyLCC8USGeevtwMlg4g2QAMBLEdTEUf+SttDFQf57oYQ0gqHuS9KUJzf390Q
KfMO0H3lomCWw+Waqiepr4xngNhYOjPUYJ5hMPZsmfecZ30Y7Do49xtbCdojiYSCZd+q/XGq0XNH
OoAKGZ+1Yx4xcCuvPR2rrhWqHQ+GpKoWo6crW3oDFAxapLkfGa+ZM6+QdJB47Guv1ESli9fGvWMs
kiGs99i2BSZBr7ULiZYNvXaGQxmhbhfoBTH6Fvp4X8cmEQO1iD3wQ+K8V27mlM6sAp54gbONsZfh
FXOvRw7V1mhBGzLO2Ky3ATs9JjPbwdWfMlJD0WAqwUXTFOjR4tTFedlnS68Mwgsg3DB4XMW/hMab
UqYk8oMXax3dZbk7d1w1wPiVeO6lFNKOpoPsWNd2Z9pXOcXJ1pZr48ln9r5OTQ1FhcFtisLEYR5T
aUtuUioRD/nDWkq04bFAwHfV4WpZOa1TbawgIIauc4dt5djBLR557Zh0IevGDvzstLHkZoDREdrH
NgFJK7MotVWgwRsrbL+YZ0CJ6WeOynVZpMaeKUa66q0A6QqY/mUR68UZpBAapIVT4StG05KolrRx
vc4HGAPaYdYlhr9Jh7Je2C6dplQIY5RIDZcIwauNy/K6UHpSj8YwJ7pZHtSZVHicdqY7i1RIa5qA
F2xdvT2lKq02o+1L21F20BW0FBjY+/BAw2N8yLAgrGtP0VdaFBj3ijZU1wHPi31hJtpNJLfGzjJa
a5N4TbsluipFLGrjke8IcpglVVYe+RhhV6oTuYuOpB1SEpz4No9DdRtkDZ04zvuqyXpjZTLMPJL6
0liNbVTRtQ6whQ8tIy4bzulMc6p4Y4QGFQupHQmmu4cwT7NLX2LwSRsurU6tzCd8fUwdQUPRSmzt
Bq2yImTnVtWFfquya73WK1/ZVEHGoD8ygSeGQUb5OQyUmQHFaR5FPYwkuZhXhhMS4tdQbmlxdTQa
vbbqHc/bVqEp78mD7Y9sYWdgHJKxY7Z080rLynQlwcF9EnTNR9wmfFyScm7EfYP+uPWdFY3OaGkh
7TyrzCCf+1ZJJmdJvjuNMy9HwRP1O4/p73mqtO1n3avlhe0kUriHRmsubSj4q2lt/CcYo4Qq4CeP
gSio35caiN99fgyQEo2ckk61ZbH26RNy7PkxIJJbNZu1HvMaayN1ztfHAH1xBSfvV7k9goLXxwBJ
sNhGqGUsHFbo9oiz+YXutyIEft89BoTggecURREiO/277WHVNRpBv86cuA30SBEBMdAOAvyuKMCW
rqqS5y4zTL2WVTHQx3BLzn2SV1vfk7vboE60Ey2NlXP6pOpn22ufulAiGtNVBZu5dvMvA/PbVaaE
BcLW0V+YbCgksyqBk1b6scPOZWG2ytOgyuctQqMjzJzNvdkYCgSMYri1xlgG7ufYnyKU5ybjIhRH
fosSOvJHae10oXaEFEFeyuZgr4ZB8X1k7F27tv2c5l8ju7cpY1EGxgjD6PA4CS3OpAmYlKFv0lkw
Rt8rjqy8Oy2jBgfRWEbHpt0em0j22kp5xG0lADm9viHTptjKOfNOMlTYf2IDW+ZAqObMxgt0QEV8
E0aMvgYzkI7A8dPKiVKUcmUQCZSqBIx4MCW66u1jjMthBcWqMMiqz83j2qrTFekOWrN19TrYaZKe
A1Eu7qsgaJZEC+TXZXkUOv6FmzT61gVIdgdPrvqU9raFf4vU+ZqlHQ51ZZ2z1NbXSWPmtCLT7gqR
tgW9Q+RTwYvC2Vl4Dk3jCk2VpMrpvsrrYNuSBnen1L1CYRzpywg3dTSb5N7I7epj6s3SAKtaK8tU
iWUgJ8zZERQMcy1Wd8Sf5WsZ5T8/RJaEUjYLT9gCsnpITrKqrO5cRssLIHP1rDIradfXTB4RVUcz
pJ2QynJhOWiF+UAWNoRaGBLsEmsCZCFcCv7kWPCFeYEJP6mwk6OhE+aGQtgc/NhWzmNfATPJBhfa
Zukri5gB8k3k9+NZOmYj3Wk7O4MJkuISoSmKXZlhdyQl1mkY6bfaWONtI78TU1pgnZhZ4c/KvAyu
E+Bg+z6RxrM+LOeel/PMIwk1IQtR9RYFE5q1JOunPCjM+3/Ousk69pN18/H9pprYtD2vmuYHjElg
iFgzLRPKqvy1qYZ/CR0w17wi1k1dFWPGl6aa9YG0TgptYrKp4NC4vy2eeUDScaPnjwlVFdXuL6ya
usgA/W7VRJ2FD4oCn+0rmAS+/4ZtVA+5mwIRncelmuyYCo3HpdF5HQpdJg8yrsPreAiTfdE9SHJj
nPQWafOFJQTBTPcIrVGjYyeGNkNPp8RYUNhBDqi9EiL7sb4bWLGipVYZ1w0pki03shR4M1x69L0c
j/ireegkyipII2mcEXA/rEvTLMMleuCOJ33gw75GVNzsMb/Tu7LU6rIBnmgJvl24BUZPzLzNsG7p
Zc2wyUY7ucs0A80Wuw5nodkSvTfZq8eZHUX5ovQG61Tz0nRfJFg6knIYIJjn7QIFDHNzHzv9LAvl
SxeL056ClnG+N3pH6JtyGQtOjESB4nBDF9RZgYGOZ8BXlK1rdzI0QoZXH+nCWQu90eu9LmnyvAcT
6M9zoX10hAoymASRWkD+2QLcf3HrT4pJoZ30TSOuL4sh87BcCnWlgSB0ByknhF+E5fVWehZiCk1m
2wp5ZguZPjrthWoznQSc5STmzPrUO0mFwrObxJ6jrvRr37eWllCCGpKscAChD20mqWgjSdDdKLN3
iE1tzpMaVbuR8JIe6zBaU3WSnY6TBDXsNOThIUmvnxWhUWUMh1zVsyrLRWM1uNWqGpk5y6HSbBVV
kfeKg2nDDYYcGaqNcSXTKyR00KCo/+mRGn1x45NpuGyNLERImqvCFDasjWpQT9ya53Xgclmg4t2k
cvpYR1bKWG1MFlWWm+ugQWXex6m91ys3PkGEGEdwpSyJ7C1lPMUCdm0V4ZExFjDRU93cF0w75kWd
kOlKi5K3OpIwRjbS2o0geLWKc5YNvszFabOBzBt/g1PaO03ZRt7D/LhRoViuYQCcF0D+Nvg+czRT
1AFJkn5SKupSyY9ErEy9cTM5v4+9DpuX2tC4IwTzs29D/JXDYgXeGMTWZRNW5mWQuzuYwSY7Srw1
vM9oaRYOnsDYJeakbnXlopAc7appRu0CCjDdSuJ3L1IGMmeonpyjMYl9otqQ4h3BQvRvdIjsPO7M
FrVyXxvHvRKla2sIn5CbaPVCtYKr0qlUnh+yPmd2pc3HilFa38FILwlnhQYmVO/V4C5ss0FU1LXG
MaxWZSGzy4Y0nhyrnhGTMp/l877SZQRVvnqmdtGw0WQKr3Lme0kO5b3l+cLEWNuqMMwXo54GT1Li
oMS3Cu1Srwf1NtEL64HgFucqrath1o+DfqrqwycvqbeNTpvTzOVsZulVfxKjwPJnTlvYd1Jpd2sP
RxCbRrLZsBMssVVvAqX6JFeaNvP7z1ZWLS2oJwuZ7dinqsyHFffaAtLydS2BsuzcR8CYc4SN49Jw
U7TjdhNimsz6aDE0GpAV24DHkt02FoYsQY5csn+NqZNKuIvlqJ01SvpFGWpca+xh2bNLQufe0mxr
9607ZEdlTUpGo6uCe0/CQp3tek22oUJpZ7Zt7vTAf8rJLMIiBJsprkyPqqaKzhwbn7Lc1idVVEsr
P9Jg7gb2HptAumyt+HKo3W0OC1Gu4pt4IJ3eSfaUuAyIHWOYyQpsFzsr7xBN5dQtNv33nIFkNCzl
kDDPeDgPAyCeuPVWyoi6SU5TgCDC7GVbBLV6EqM6Y+cqMeIGqkKckjN9rPFdUuXOHZmSKgmcFUTi
Kyu9tvr6MoLrMXeopvH22ZcNtVATdytDL0byG8azoZRW8DR3GmKTJvKuGem7mFm51Uf0Swv6is5G
IuZvjYzJ+6gmxqweOtgwlsurOvQQiRwJ5lGuI0URQBSvtT5JZkeycOd/ahFvGrMq67NkFtt9tPet
ztvpxPQto16RhLPQBZtW6MdeFEM+QUC74uGor6QkCe5rIk/m+P1kfB5lvHQ7R1/lhmvzNHDSRSj5
9gmRGOlMTQsi2LDWL3tDJY44N/xV3HjRitzf5hhvnIGYN7OWvU1v0gjHy8QlYCDBqZfQcjhxYyww
ml4ui9HZqImksnzZcABi11+WjD7Qy2ouRsN2l5YDM5O0G9YAM5FLl7V6oUmYRFC1qQx8msghwSEK
F2PRyfdDMHQXXmMb1awj0lGaV0M7auzdW3lrVE5AYFxJPzfzudlOPLhgd5ILhcarTOifsRNtTTLa
T4HeLuDSjPOmHPRdUTjBekAwvf7nlH/USu+Xf7P74Smu3keJCwDIawnI0JSNKf9BBU+Xj+LweeOM
Nc2inMNixiSBOlB0Vr/OVUGQiP4pfXpSAk2Zb72ME/QP/Ct+ga0zme50UX9triqLEu/NQEEY1RVD
BSdOe5dxh5CuvS0BrbhSdewoGE+K3D5io0oipy0ljRDBVqm5dB27Rf0NdjvYjM1QX2me1kkEFg36
OGNEFw4rL030u5pYnI9SKedfKIaoKCupWduBrBpzxSzC40QZFDzNPIbVWRAwYqOFmeRPuF4J7gtL
nuxLPWyTNSLryLjI0RZ5M8T9tbwMLau51tuiBvDQOYAB6SuYt10Pd2imoIQvl6Mmjw+pY2ZHIOFM
2MVQ5jZWwfYfLSZyjnkfaZSKtK9y5FZwm+9RxtjoaIegJVbQQky+HOuM8VtRF9dSk1UdgZ0leXVw
wWYwL6DW+uGQX1l6IyI7oDKmAh/ZVbuOlAJo1rbj33dF6jODlIv2MQGPFM5Mld0s/yJsb+PKKR/S
WnPA6oIovCSrXmEaHVWgJjAN4XjwCClqZyqtR/iY2A2++FGZnFgYfMEq9ad+TJTCUjWTUKV0rmlJ
u21V47SPNO3GF7pdireRsHejRIdBCIwEFIRUhnA5KGVb7NXG8aqj1DfsVVkwCL0tszzBL9/6rbo0
yFhfotaQpXum68oDnwaO4kHvg3rT6tJd5JXlZoiPcFF3SgWio46wJv5zVgpuzp+tFM2D/5MOG7/8
vFCAv5NRg1o4Tk1bYzxBC+t5obA/gGhVAe3Rd5OZSTo0v14WCpF2iqGUpDXGLTrTSW7vl4WCkaRD
0hnNNxO5KuvMr0WXioO8XSiY5LCPRYTBVpbuH+OWbxeKOBh0trjd2tYwV5IaLqe3UJv1a2/i7KAN
vaB0MrSNJjg8PXrMEUmGUroL9CPNJ9CnlbFLIhuAD4YzYD5Dh2xupk6QnzwqAf70E/zHLiu+G0xQ
INBAAIJauldzZoNgg5IJIYTI2213XP/w06tRJeiTvrpTzcPKGZYhkAWXQC5BXvcFhJ1NkDwvJjJ7
JICShS/Ykp3eK+pGF+BJZWJQmi6QVxy6PNjZZGkOmiqE/NK6cDzTW7papUImsBVd4/nvdJ8aODIu
ppmO7V5atsuGKQt9J2fwtWWVF729EciKLaKpsYMALxidoGrG5AqBoUnoNfEh6AStzmyJ+xQEUFfA
QJHCuwhOE6vE4wKvbE0w9bA2O8Tkc3AaNUWyURJjSrLWrs6LsoQ0G+U7tnAYKZAiHFllMADV8N1e
X5Jl2X8cVJSkSx2a4GWYdKEJzq4mDw0gjnbn6ESLLlO3dVyKE9ndG6FinMkRLoMzMHjx3eBFEUUz
dixsUXqDoMwpS3cWiIhIwy/YpFWc+Xt5LAg0klVh+R+mbEnXJbtBEoGTnUv0ZAYdihpeEomUmVa5
j6NalLfJc2JlSXhlTY7K0PjwAOop21IRMZd4eEm8BIDUMVwQOZjkgpOJifXfohUB2k8yrYp6hg1l
sUhgJnKOKvSyxSSdHScZbazK9pwuNTlf4SS0bbtGLJbmOEoLLXMaecYEKBr2ogYOeaDlUk2tKJS8
kHlZ54G+9fNeCPGWJuC2c5PtzD2cP1O/xJ/ZVSsZP6t8Q9pmdoM8xVuhVEZD7KGeOdNAbuyi3LQe
8XyRzjUI4bE5aZDDXsmDpT5pk/MOghS0d8YwDecIOZIQMpPWQMaqZbATS0WgF6s/omezCobb0OQp
B/QATbTk4GjOhVC6mCTTk3o6zwxyzpVJWJ0FYmw2ya2jSXrdCxU2rmDTXhaTOJskIITaiI/Ss3aS
b6eFkHLHnV2vdaHxVrOxhihjxc6JJDTgVtm620zowrvMN7eCIjiPUFGetHpRXkhCSZ5KjpstZL3m
YUg1TzdHqM6NSYAeTGJ0Ywzd4zArxnltawaEZy9nSRhKvGQI/Gwh9WPn15lbMgRQAMqTGrARwsBc
SATdSS1Yj0SZLodJRVh0fr5DDPro98lJGWja3qOzs1SF7FCdFIi2ECNaTqOWi5RgA7qpZZ5R2E/a
RXXSMWZC0kjDAHVjgrz8hkUZv+6gVoSDTUrIRIgi9UkfiXJLkk6B5gY4xl3iUi61zvA/Rg6+XFQ7
qr7iruh8tjNSa2wNPvuPclCz31Or2jlpywpFU6SD2Wi6IabvEbPNDLXxKe9Ko1zLgSx/KRFyXYyd
mR5JiCZdQgvRYC58L81v3TGEehzFZrrP4aC288IfTNZTv4OIrFmDHKxNcG/cEXG1ASWwySeSmOQI
qlg5EcbQpDqbzPPBjpVjCYFMwMgMFSxZLABlQ82NfyXxAg3nPEA04pDN0uzdqm6gsE2cM31innnQ
z/qJg4ZFTs2WSeKhDPOtBpOcOnHTuomhpmsZHp9gYqs5cQVnLZ2Ya5XAr/kCxObLgsmmT3w2f2K1
/WPKDPFof7/M+Pfn4P3diPjV5yLD+gAXi4GcYFowe2NY9lpkINnQ8a+IeHTSg1TsLV+LDPODMLYY
7FNkWocUGn8UGQz/6GojCgF6aBPweqCJReVvQqXO34CdGYKw9p2ag+sj9GESzm2PEE4E+VeBZpkk
dgYpCXpC3N4YzpmaSe28HyKIQmZiLRMlDRaI/5HWN3Uzl0ziBlE1aHODBItz+q0soAPJJuOocyFb
rK+JmW7CsA1WhLoOq6ILVolW1+si90+AXt+Su+nNPKKcFq7E1FwZrQeDs7apmwAHbhIs/CKTt70b
qcdDTYvArZMLXQrV8wxVZDoU+hbNRHicoxRbeSFjdu7yjcyjoevivYQwZFZLNLHFu5BHjHWRtRuC
nWWF/p6yfEOsqnLEMHvBxuCxIlz7I6C/VaWSao4lWeBqjP1ouPJcDZBV0okCGyuXq1Zp78au3KCW
X2NayMkjKUEJ5+OjG9IPcxJ9h+hVnqWSliwTIjg/NrGc3MEpt+8U1cNcbDlYg6nTaP8EK80oUInF
XXDs68HIYaKVqY2EgMpyCSqrlVeBoZ+jc8x4AoZ4aMqPjhd1m8apzomFCeimEHqDtWPTIOdfQsPw
5t74QE7Acsx1zkmkP9JvvumxajwFEm1iLcVPI9XDuTaC3orZKrKFooespPqjrPbhOXYmdamllrMg
PSmbQbAwUCbQ/VIzsOtuqyeUHMPwKCMN+GQDKlk1StHdGbnHilfL1UI2alBUJdmkBQ/HfWoqd4UC
DNges2igdlNY9tXIPGZM8RgGIc+8Co281lTFSc+2aWZ58aMz6MGj+D+BR6JuYaUtKvuy2PZSFR45
xONg3oYZ8ggUP/g0ymF6lBemOgP64a1NP3cWmVVmWJUGoLhRgFrYHxj2Rk2t3+S15982GIN3qa5H
y1ZnE24yudzoeAz2pezqNw5gxY1CxsklefLdJS4uibZa7tsec+mOGHezD79Ezlgv09QeN1B+gxM9
yEiYH9CvIE0ao7mnyuG+Z6RYxuiUkU1JwC8QVLhCWlFkpHzxDhBcyDDp51KQ92ct4+6lLIQZ5qTR
iFFryEK20QgBR9aon70IB4fCSf7clWh/rVptiC2P1Aj6dqpuYnY9yzJr8lXQjdKyEvrkQiiVm0m0
zDOIh4ZQMitm7u3AYxd8usOpKvTOg1A+I6dyjlPsKXvJRBc9CoX0EKDRnLdCO126bOR9Ez9obsNv
iSO21Vl/CYW3XBlCeV0IDbYr1NgkM+cfVaHQ9nK27iFlsJhFwFyL3I0lFN0MAtB2K9wvZWskt3ZQ
3dtqTSu9sOszyGrhzoIKsCrbKp8LlfeiM6t4m9AQ8Ih44NQiLc+yBkUwLtRLF5c/ahuINxlSnVtZ
C1Clay4UUs8yy42hq9lxYg7aCRPsfpW2HZMrPGQEd9KOkcdauSh55V3jd9FKkeRwq3gFsZ6W0R0n
nmwu9SjgBpClaq+wMbtKAnEn+81wp9mxelOWdXbbQc5cFX3aIsKuQXO0KrRjVq9hJWDgSzPhvwyl
f7TNvl8TBOYsFL1SthJIrNvRlKqjMB7KHd50+6GkDTK3ZRDikuMv69Ra6c2wUKrmdkiThzDtBxCn
0Y3cOnst9E481kLDffCH8x66aE5vh/NfX6l6e6+XtjUHzECyvDoLGz+Zq21pLg01vYCtZe6xBp4o
ffo0NlkLrbMJFmOd2lstk/VVBub8QWuz30gI/aI0WtzX98tJe3zePJXDxVPVQLB4neGK755lQVpf
Zf/ZD/38hV5Uz1dD/vT//uf+EXDTIqjqMnioKQ++CqJpuNGKhFD1TbEx/VnT3/yzV4GyHNTNIy9P
Y0IEnmKV/Z9/xVnqvf5r7QPDDkwhotKYvt7Wbz97/z9/a88n8uc/880f/pA1aS0+AI+ojLdvX7G+
R7O889a/e4U/3jo5kPR0qWBY1KYvXvDNKaAE4wvF8+u3aQhzqt9cIO9dAj9/e798Ct69AtB5mSii
BDTmsGtA+UDLysYnSi355gwA0tZMXRHyr+evZ4Xab3QGuEJlpM0Hvn/zg4ptEhrd6/vkBd+cBvTT
xFPBnsM/NX39rheCkO0ddCFYH0RcsTC5v3zg354I+puU/exLnkcuv9F18HInCDXhQSeAUGcVuDCT
oJcTwDv95kpQsDEjavzdrwQBNjzoRIh+NfYZmxnW89e3jwfrgwlg4c15er7yfqMrwgLA74hx3GGn
QeQFENVGgfrNhQDHkk2vqhoM/Z6/pgP9Ru//9dnwvaj4nYfkd8+YPx6SJneEibNEsDlf3+mbO0L7
QKiQAGq8fvt3XRoIKTrwUlBRAlrIplWW/zdnwPygEyStY3V9+foNb4Vp2T7w/fMUJD3K4L56eZ/f
Lo2Q7OhUMd8CZjd9PXfBfqM7gnGcoVmH1ss2tQL26SlP/M1VwH1gInekvfabLgTqobUBHUSefCga
Xj5fYR94cwIIGSM0XYSn/Prn/zcukq9brzlBEI/Tpit4qn60N3vvB16L8j9//82eSmwqvvlBsQd7
Pvbzxkv88/9+s1hOG4I333zdIEzHefn1lzf450N/c6zXd/X6LzcBrtiSTff0jeHlzzy5T9i2nQ4/
kDV/vcL/+HP+tH/8+jj86auD6/iz5ZCXF+Xf6ybsh9vTv/Xy++6+/EETnKWFvjI30KF//v7+sUl/
fIDnmuDQA8xRFVf/ugjap/JHp0lYkinADj3KDH/VDz/ll33/oa//7/Q++fyjD+LrrurQI3y6T778
8KN+qU7EQ/nQY9xln59eX2X7SEPjeVMsntKHvvQVf/vnH1xHr4egX3DoIS7/Rojj1PH5z++26TKt
/nydvr4LHgyHvou/ldp14Nv467yZQw+Q/sQqolE3HHqWTgLvR+vFy+cgRmgHH+G+4pLt3r9kgbsc
fJCjey97/3ISKT6Hvo2/DhM48KPe/zW3+dAjoE4OfvQMev20/wvPh/39jx4Prwf4L9zWf4e4eOB5
+kvm0YGvD7P/r7LtDzzCL8NLDjze3+BBHHqEv7YaH3qEn6y0kynv0Nf/nKXDT7Sc/4UH9+Iprt9f
Z0Uj8tBVcPaUNk/vPrZFr/fgI/wdcfyBH8Xs/q9ltQce4t8RT7wtASfvnizjv/D0/vfjPZns73/k
QqFz6Afy1+Kgn56qH20zvw6s/rz5fB1E/ejXvt1Zi594iJ/uy//9PwAAAP//</cx:binary>
              </cx:geoCache>
            </cx:geography>
          </cx:layoutPr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496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>
            <a:lumMod val="65000"/>
            <a:lumOff val="35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163469</xdr:colOff>
      <xdr:row>3</xdr:row>
      <xdr:rowOff>51487</xdr:rowOff>
    </xdr:from>
    <xdr:to>
      <xdr:col>32</xdr:col>
      <xdr:colOff>193777</xdr:colOff>
      <xdr:row>48</xdr:row>
      <xdr:rowOff>59281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3B745182-8DBE-BAB8-289D-8D62FA7E4070}"/>
            </a:ext>
          </a:extLst>
        </xdr:cNvPr>
        <xdr:cNvGrpSpPr/>
      </xdr:nvGrpSpPr>
      <xdr:grpSpPr>
        <a:xfrm>
          <a:off x="2024167" y="649568"/>
          <a:ext cx="18017052" cy="8979015"/>
          <a:chOff x="1141712" y="369929"/>
          <a:chExt cx="17947605" cy="8116916"/>
        </a:xfrm>
      </xdr:grpSpPr>
      <xdr:sp macro="" textlink="">
        <xdr:nvSpPr>
          <xdr:cNvPr id="2" name="Rectangle: Rounded Corners 1">
            <a:extLst>
              <a:ext uri="{FF2B5EF4-FFF2-40B4-BE49-F238E27FC236}">
                <a16:creationId xmlns:a16="http://schemas.microsoft.com/office/drawing/2014/main" id="{90364FCD-B60B-6E20-914E-5929EDA46EC0}"/>
              </a:ext>
            </a:extLst>
          </xdr:cNvPr>
          <xdr:cNvSpPr/>
        </xdr:nvSpPr>
        <xdr:spPr>
          <a:xfrm>
            <a:off x="1141712" y="369929"/>
            <a:ext cx="17947605" cy="8116916"/>
          </a:xfrm>
          <a:prstGeom prst="roundRect">
            <a:avLst>
              <a:gd name="adj" fmla="val 5338"/>
            </a:avLst>
          </a:prstGeom>
          <a:gradFill flip="none" rotWithShape="1">
            <a:gsLst>
              <a:gs pos="0">
                <a:srgbClr val="1B7339"/>
              </a:gs>
              <a:gs pos="63000">
                <a:srgbClr val="1B7339"/>
              </a:gs>
              <a:gs pos="65500">
                <a:srgbClr val="1B7339"/>
              </a:gs>
              <a:gs pos="65000">
                <a:srgbClr val="8DB99C">
                  <a:lumMod val="21000"/>
                </a:srgbClr>
              </a:gs>
              <a:gs pos="58000">
                <a:schemeClr val="bg1"/>
              </a:gs>
              <a:gs pos="55000">
                <a:srgbClr val="1B7339"/>
              </a:gs>
              <a:gs pos="100000">
                <a:srgbClr val="1B7339"/>
              </a:gs>
            </a:gsLst>
            <a:lin ang="5400000" scaled="1"/>
            <a:tileRect/>
          </a:gra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A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B4B140D-0C16-4ECE-042D-E44B70839BC6}"/>
              </a:ext>
            </a:extLst>
          </xdr:cNvPr>
          <xdr:cNvSpPr/>
        </xdr:nvSpPr>
        <xdr:spPr>
          <a:xfrm>
            <a:off x="9450494" y="577768"/>
            <a:ext cx="1992057" cy="1055960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7AA6225-9149-4379-BC98-8284299B207E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1802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0" name="Rectangle: Rounded Corners 9">
            <a:extLst>
              <a:ext uri="{FF2B5EF4-FFF2-40B4-BE49-F238E27FC236}">
                <a16:creationId xmlns:a16="http://schemas.microsoft.com/office/drawing/2014/main" id="{EF665525-40FF-4620-82F6-7A025C63F771}"/>
              </a:ext>
            </a:extLst>
          </xdr:cNvPr>
          <xdr:cNvSpPr/>
        </xdr:nvSpPr>
        <xdr:spPr>
          <a:xfrm>
            <a:off x="9891034" y="1804193"/>
            <a:ext cx="8224701" cy="3230709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I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AE240C3E-C727-40D8-BDDF-FF8D0C5BD388}"/>
              </a:ext>
            </a:extLst>
          </xdr:cNvPr>
          <xdr:cNvSpPr/>
        </xdr:nvSpPr>
        <xdr:spPr>
          <a:xfrm>
            <a:off x="5209116" y="611107"/>
            <a:ext cx="1992058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3198C55-8AF2-456E-852D-2951BE253126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200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V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FEBE9782-38FE-4E36-9500-8A5DC04E9E42}"/>
              </a:ext>
            </a:extLst>
          </xdr:cNvPr>
          <xdr:cNvSpPr/>
        </xdr:nvSpPr>
        <xdr:spPr>
          <a:xfrm>
            <a:off x="7322545" y="595376"/>
            <a:ext cx="1994741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4BA936C-5D09-4A85-8A7B-782892E22592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4134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U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673CBCE6-87B0-4C06-BA7D-DFF81F72081F}"/>
              </a:ext>
            </a:extLst>
          </xdr:cNvPr>
          <xdr:cNvSpPr/>
        </xdr:nvSpPr>
        <xdr:spPr>
          <a:xfrm>
            <a:off x="13660694" y="611758"/>
            <a:ext cx="1992059" cy="1063898"/>
          </a:xfrm>
          <a:prstGeom prst="roundRect">
            <a:avLst>
              <a:gd name="adj" fmla="val 8974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3AB0CEC9-4F6C-4618-B0B4-9E641BC58D75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1148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D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D748A61D-05C9-4EA9-BC21-6C26D0F05A9D}"/>
              </a:ext>
            </a:extLst>
          </xdr:cNvPr>
          <xdr:cNvSpPr/>
        </xdr:nvSpPr>
        <xdr:spPr>
          <a:xfrm>
            <a:off x="11554612" y="576182"/>
            <a:ext cx="2001080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DE2A8C3-D813-4340-81E9-B4CA2168DA69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1184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D1242BA6-1686-5739-56A8-9BDC7C9E5C9A}"/>
              </a:ext>
            </a:extLst>
          </xdr:cNvPr>
          <xdr:cNvSpPr txBox="1"/>
        </xdr:nvSpPr>
        <xdr:spPr>
          <a:xfrm>
            <a:off x="1651313" y="772766"/>
            <a:ext cx="3291390" cy="467200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rgbClr val="008B2C"/>
                </a:solidFill>
              </a:rPr>
              <a:t>NIGERIA</a:t>
            </a:r>
            <a:r>
              <a:rPr lang="en-US" sz="1200" b="1">
                <a:solidFill>
                  <a:srgbClr val="008B2C"/>
                </a:solidFill>
              </a:rPr>
              <a:t> </a:t>
            </a:r>
            <a:r>
              <a:rPr lang="en-US" sz="2400" b="1">
                <a:solidFill>
                  <a:srgbClr val="008B2C"/>
                </a:solidFill>
              </a:rPr>
              <a:t>KIDNAPPING</a:t>
            </a:r>
            <a:endParaRPr lang="en-US" sz="1200" b="1">
              <a:solidFill>
                <a:srgbClr val="008B2C"/>
              </a:solidFill>
            </a:endParaRPr>
          </a:p>
        </xdr:txBody>
      </xdr:sp>
      <xdr:sp macro="" textlink="">
        <xdr:nvSpPr>
          <xdr:cNvPr id="16" name="Rectangle: Rounded Corners 15">
            <a:extLst>
              <a:ext uri="{FF2B5EF4-FFF2-40B4-BE49-F238E27FC236}">
                <a16:creationId xmlns:a16="http://schemas.microsoft.com/office/drawing/2014/main" id="{7C9446AF-83F3-47C2-B09E-22C977321AF6}"/>
              </a:ext>
            </a:extLst>
          </xdr:cNvPr>
          <xdr:cNvSpPr/>
        </xdr:nvSpPr>
        <xdr:spPr>
          <a:xfrm>
            <a:off x="9859994" y="5160916"/>
            <a:ext cx="8275584" cy="3212474"/>
          </a:xfrm>
          <a:prstGeom prst="roundRect">
            <a:avLst>
              <a:gd name="adj" fmla="val 545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B21A272A-8E5C-4890-8ECA-F878A2BDF1DA}"/>
              </a:ext>
            </a:extLst>
          </xdr:cNvPr>
          <xdr:cNvSpPr/>
        </xdr:nvSpPr>
        <xdr:spPr>
          <a:xfrm>
            <a:off x="1749233" y="5127868"/>
            <a:ext cx="7855678" cy="3212474"/>
          </a:xfrm>
          <a:prstGeom prst="roundRect">
            <a:avLst>
              <a:gd name="adj" fmla="val 6579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2718C0A5-60CD-4E71-9C0D-81CF2E7F528C}"/>
              </a:ext>
            </a:extLst>
          </xdr:cNvPr>
          <xdr:cNvSpPr/>
        </xdr:nvSpPr>
        <xdr:spPr>
          <a:xfrm>
            <a:off x="1656654" y="1802294"/>
            <a:ext cx="7987946" cy="3212475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mc:AlternateContent xmlns:mc="http://schemas.openxmlformats.org/markup-compatibility/2006">
        <mc:Choice xmlns:cx4="http://schemas.microsoft.com/office/drawing/2016/5/10/chartex" Requires="cx4">
          <xdr:graphicFrame macro="">
            <xdr:nvGraphicFramePr>
              <xdr:cNvPr id="19" name="Chart 18">
                <a:extLst>
                  <a:ext uri="{FF2B5EF4-FFF2-40B4-BE49-F238E27FC236}">
                    <a16:creationId xmlns:a16="http://schemas.microsoft.com/office/drawing/2014/main" id="{45524498-1B11-47C4-8765-022FDAD56D0E}"/>
                  </a:ext>
                </a:extLst>
              </xdr:cNvPr>
              <xdr:cNvGraphicFramePr/>
            </xdr:nvGraphicFramePr>
            <xdr:xfrm>
              <a:off x="10145179" y="2570464"/>
              <a:ext cx="7709906" cy="2453759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145179" y="2570464"/>
                <a:ext cx="7709906" cy="245375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US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2CCCFD55-141A-4EFB-B0B1-46D0A5ED038C}"/>
              </a:ext>
            </a:extLst>
          </xdr:cNvPr>
          <xdr:cNvGraphicFramePr>
            <a:graphicFrameLocks/>
          </xdr:cNvGraphicFramePr>
        </xdr:nvGraphicFramePr>
        <xdr:xfrm>
          <a:off x="2245720" y="2342635"/>
          <a:ext cx="7331410" cy="26180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F178F42E-6159-8549-3D82-364FB59C7CDB}"/>
              </a:ext>
            </a:extLst>
          </xdr:cNvPr>
          <xdr:cNvSpPr txBox="1"/>
        </xdr:nvSpPr>
        <xdr:spPr>
          <a:xfrm>
            <a:off x="5173613" y="656062"/>
            <a:ext cx="2171012" cy="5117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Incidents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1567D0F7-14AC-4A2F-BE1B-44DF33D637C9}"/>
              </a:ext>
            </a:extLst>
          </xdr:cNvPr>
          <xdr:cNvSpPr txBox="1"/>
        </xdr:nvSpPr>
        <xdr:spPr>
          <a:xfrm>
            <a:off x="6446233" y="455077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Victims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81E107C0-415F-4498-A594-5CC2B60D2827}"/>
              </a:ext>
            </a:extLst>
          </xdr:cNvPr>
          <xdr:cNvSpPr txBox="1"/>
        </xdr:nvSpPr>
        <xdr:spPr>
          <a:xfrm>
            <a:off x="8538736" y="434296"/>
            <a:ext cx="3834184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Living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5E12A1B9-C066-4DF1-B740-517E26B0B467}"/>
              </a:ext>
            </a:extLst>
          </xdr:cNvPr>
          <xdr:cNvSpPr txBox="1"/>
        </xdr:nvSpPr>
        <xdr:spPr>
          <a:xfrm>
            <a:off x="13053446" y="616341"/>
            <a:ext cx="3295856" cy="61933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Unknown</a:t>
            </a: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CFCF182C-2E92-4DC4-AEC2-CD942F3DE798}"/>
              </a:ext>
            </a:extLst>
          </xdr:cNvPr>
          <xdr:cNvSpPr txBox="1"/>
        </xdr:nvSpPr>
        <xdr:spPr>
          <a:xfrm>
            <a:off x="10647902" y="430958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Dead</a:t>
            </a:r>
          </a:p>
        </xdr:txBody>
      </xdr: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A7F0F9DC-5FE4-4A44-9E14-D5F3EBCAA87F}"/>
              </a:ext>
            </a:extLst>
          </xdr:cNvPr>
          <xdr:cNvGraphicFramePr>
            <a:graphicFrameLocks/>
          </xdr:cNvGraphicFramePr>
        </xdr:nvGraphicFramePr>
        <xdr:xfrm>
          <a:off x="10087450" y="5586284"/>
          <a:ext cx="7414055" cy="27319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FDB05E44-8627-FD44-CBEE-E1A7CA51AF67}"/>
              </a:ext>
            </a:extLst>
          </xdr:cNvPr>
          <xdr:cNvSpPr txBox="1"/>
        </xdr:nvSpPr>
        <xdr:spPr>
          <a:xfrm>
            <a:off x="1807174" y="1717074"/>
            <a:ext cx="5797379" cy="6120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Outcome by Response Time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6DA98F54-DC94-495F-884C-EA87CBD63243}"/>
              </a:ext>
            </a:extLst>
          </xdr:cNvPr>
          <xdr:cNvSpPr txBox="1"/>
        </xdr:nvSpPr>
        <xdr:spPr>
          <a:xfrm>
            <a:off x="1769074" y="2186244"/>
            <a:ext cx="6786692" cy="4413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were the outcome of the victims based on response time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93F56876-3F71-41CA-A3F5-B95D5E5E976D}"/>
              </a:ext>
            </a:extLst>
          </xdr:cNvPr>
          <xdr:cNvSpPr txBox="1"/>
        </xdr:nvSpPr>
        <xdr:spPr>
          <a:xfrm>
            <a:off x="9966366" y="1825839"/>
            <a:ext cx="5798667" cy="441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Number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State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EE799D-51C8-46FE-8C05-25E00584578F}"/>
              </a:ext>
            </a:extLst>
          </xdr:cNvPr>
          <xdr:cNvSpPr txBox="1"/>
        </xdr:nvSpPr>
        <xdr:spPr>
          <a:xfrm>
            <a:off x="9928266" y="2257682"/>
            <a:ext cx="6786693" cy="30801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state had to highest number of incidents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graphicFrame macro="">
        <xdr:nvGraphicFramePr>
          <xdr:cNvPr id="27" name="Chart 26">
            <a:extLst>
              <a:ext uri="{FF2B5EF4-FFF2-40B4-BE49-F238E27FC236}">
                <a16:creationId xmlns:a16="http://schemas.microsoft.com/office/drawing/2014/main" id="{26184FAF-D970-45C2-A6BE-0E462286B552}"/>
              </a:ext>
            </a:extLst>
          </xdr:cNvPr>
          <xdr:cNvGraphicFramePr>
            <a:graphicFrameLocks/>
          </xdr:cNvGraphicFramePr>
        </xdr:nvGraphicFramePr>
        <xdr:xfrm>
          <a:off x="2471351" y="5612998"/>
          <a:ext cx="6344031" cy="256038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D17A6F5B-AF2F-495A-9425-335BFBC740A3}"/>
              </a:ext>
            </a:extLst>
          </xdr:cNvPr>
          <xdr:cNvSpPr txBox="1"/>
        </xdr:nvSpPr>
        <xdr:spPr>
          <a:xfrm>
            <a:off x="1961739" y="5207420"/>
            <a:ext cx="7147365" cy="33279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Average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Ransom Demanded and Paid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4BE616CE-57A6-4BB1-AD1F-DB1A0BDAC94A}"/>
              </a:ext>
            </a:extLst>
          </xdr:cNvPr>
          <xdr:cNvSpPr txBox="1"/>
        </xdr:nvSpPr>
        <xdr:spPr>
          <a:xfrm>
            <a:off x="1941960" y="5531883"/>
            <a:ext cx="6786692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ransom gap look like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A74FD99E-8CFA-497E-BA9C-8FAF4F3E9A4E}"/>
              </a:ext>
            </a:extLst>
          </xdr:cNvPr>
          <xdr:cNvSpPr txBox="1"/>
        </xdr:nvSpPr>
        <xdr:spPr>
          <a:xfrm>
            <a:off x="10008533" y="5225393"/>
            <a:ext cx="7147366" cy="3424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Survival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Flag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3EC49998-D56D-4346-BFDE-7A1CB05D6DDC}"/>
              </a:ext>
            </a:extLst>
          </xdr:cNvPr>
          <xdr:cNvSpPr txBox="1"/>
        </xdr:nvSpPr>
        <xdr:spPr>
          <a:xfrm>
            <a:off x="10000449" y="5450651"/>
            <a:ext cx="6786693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survival flag look like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</xdr:grpSp>
    <xdr:clientData/>
  </xdr:twoCellAnchor>
  <xdr:twoCellAnchor>
    <xdr:from>
      <xdr:col>3</xdr:col>
      <xdr:colOff>360405</xdr:colOff>
      <xdr:row>61</xdr:row>
      <xdr:rowOff>128716</xdr:rowOff>
    </xdr:from>
    <xdr:to>
      <xdr:col>32</xdr:col>
      <xdr:colOff>390713</xdr:colOff>
      <xdr:row>106</xdr:row>
      <xdr:rowOff>136511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BD9E9EFD-3B2F-4E1C-BD17-1555DB092DF9}"/>
            </a:ext>
          </a:extLst>
        </xdr:cNvPr>
        <xdr:cNvGrpSpPr/>
      </xdr:nvGrpSpPr>
      <xdr:grpSpPr>
        <a:xfrm>
          <a:off x="2221103" y="12289704"/>
          <a:ext cx="18017052" cy="8979016"/>
          <a:chOff x="1141712" y="369929"/>
          <a:chExt cx="17947605" cy="8116916"/>
        </a:xfrm>
      </xdr:grpSpPr>
      <xdr:sp macro="" textlink="">
        <xdr:nvSpPr>
          <xdr:cNvPr id="34" name="Rectangle: Rounded Corners 33">
            <a:extLst>
              <a:ext uri="{FF2B5EF4-FFF2-40B4-BE49-F238E27FC236}">
                <a16:creationId xmlns:a16="http://schemas.microsoft.com/office/drawing/2014/main" id="{F92843D1-D068-D069-D422-332C87AEE736}"/>
              </a:ext>
            </a:extLst>
          </xdr:cNvPr>
          <xdr:cNvSpPr/>
        </xdr:nvSpPr>
        <xdr:spPr>
          <a:xfrm>
            <a:off x="1141712" y="369929"/>
            <a:ext cx="17947605" cy="8116916"/>
          </a:xfrm>
          <a:prstGeom prst="roundRect">
            <a:avLst>
              <a:gd name="adj" fmla="val 5338"/>
            </a:avLst>
          </a:prstGeom>
          <a:gradFill flip="none" rotWithShape="1">
            <a:gsLst>
              <a:gs pos="0">
                <a:srgbClr val="1B7339"/>
              </a:gs>
              <a:gs pos="63000">
                <a:srgbClr val="1B7339"/>
              </a:gs>
              <a:gs pos="65500">
                <a:srgbClr val="1B7339"/>
              </a:gs>
              <a:gs pos="65000">
                <a:srgbClr val="8DB99C">
                  <a:lumMod val="21000"/>
                </a:srgbClr>
              </a:gs>
              <a:gs pos="58000">
                <a:schemeClr val="bg1"/>
              </a:gs>
              <a:gs pos="55000">
                <a:srgbClr val="1B7339"/>
              </a:gs>
              <a:gs pos="100000">
                <a:srgbClr val="1B7339"/>
              </a:gs>
            </a:gsLst>
            <a:lin ang="5400000" scaled="1"/>
            <a:tileRect/>
          </a:gra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A">
        <xdr:nvSpPr>
          <xdr:cNvPr id="35" name="Rectangle: Rounded Corners 34">
            <a:extLst>
              <a:ext uri="{FF2B5EF4-FFF2-40B4-BE49-F238E27FC236}">
                <a16:creationId xmlns:a16="http://schemas.microsoft.com/office/drawing/2014/main" id="{42248B3C-529E-37FC-7AC0-AB69A6349F8C}"/>
              </a:ext>
            </a:extLst>
          </xdr:cNvPr>
          <xdr:cNvSpPr/>
        </xdr:nvSpPr>
        <xdr:spPr>
          <a:xfrm>
            <a:off x="9450494" y="577768"/>
            <a:ext cx="1992057" cy="1055960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7AA6225-9149-4379-BC98-8284299B207E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1802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6" name="Rectangle: Rounded Corners 35">
            <a:extLst>
              <a:ext uri="{FF2B5EF4-FFF2-40B4-BE49-F238E27FC236}">
                <a16:creationId xmlns:a16="http://schemas.microsoft.com/office/drawing/2014/main" id="{DF8E677E-9B24-F4DE-7096-370446DF1412}"/>
              </a:ext>
            </a:extLst>
          </xdr:cNvPr>
          <xdr:cNvSpPr/>
        </xdr:nvSpPr>
        <xdr:spPr>
          <a:xfrm>
            <a:off x="9891034" y="1804193"/>
            <a:ext cx="8224701" cy="3230709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I">
        <xdr:nvSpPr>
          <xdr:cNvPr id="37" name="Rectangle: Rounded Corners 36">
            <a:extLst>
              <a:ext uri="{FF2B5EF4-FFF2-40B4-BE49-F238E27FC236}">
                <a16:creationId xmlns:a16="http://schemas.microsoft.com/office/drawing/2014/main" id="{BC12FA7D-A56D-B55B-CE5D-23CC03934054}"/>
              </a:ext>
            </a:extLst>
          </xdr:cNvPr>
          <xdr:cNvSpPr/>
        </xdr:nvSpPr>
        <xdr:spPr>
          <a:xfrm>
            <a:off x="5209116" y="611107"/>
            <a:ext cx="1992058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3198C55-8AF2-456E-852D-2951BE253126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200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V">
        <xdr:nvSpPr>
          <xdr:cNvPr id="38" name="Rectangle: Rounded Corners 37">
            <a:extLst>
              <a:ext uri="{FF2B5EF4-FFF2-40B4-BE49-F238E27FC236}">
                <a16:creationId xmlns:a16="http://schemas.microsoft.com/office/drawing/2014/main" id="{E18B9552-8DA8-266D-1B33-CEAA296E0DE9}"/>
              </a:ext>
            </a:extLst>
          </xdr:cNvPr>
          <xdr:cNvSpPr/>
        </xdr:nvSpPr>
        <xdr:spPr>
          <a:xfrm>
            <a:off x="7322545" y="595376"/>
            <a:ext cx="1994741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4BA936C-5D09-4A85-8A7B-782892E22592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4134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U">
        <xdr:nvSpPr>
          <xdr:cNvPr id="39" name="Rectangle: Rounded Corners 38">
            <a:extLst>
              <a:ext uri="{FF2B5EF4-FFF2-40B4-BE49-F238E27FC236}">
                <a16:creationId xmlns:a16="http://schemas.microsoft.com/office/drawing/2014/main" id="{D35E8BE1-32BD-4498-CFB6-99B218E76B78}"/>
              </a:ext>
            </a:extLst>
          </xdr:cNvPr>
          <xdr:cNvSpPr/>
        </xdr:nvSpPr>
        <xdr:spPr>
          <a:xfrm>
            <a:off x="13660694" y="611758"/>
            <a:ext cx="1992059" cy="1063898"/>
          </a:xfrm>
          <a:prstGeom prst="roundRect">
            <a:avLst>
              <a:gd name="adj" fmla="val 8974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3AB0CEC9-4F6C-4618-B0B4-9E641BC58D75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1148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D">
        <xdr:nvSpPr>
          <xdr:cNvPr id="40" name="Rectangle: Rounded Corners 39">
            <a:extLst>
              <a:ext uri="{FF2B5EF4-FFF2-40B4-BE49-F238E27FC236}">
                <a16:creationId xmlns:a16="http://schemas.microsoft.com/office/drawing/2014/main" id="{812E46BE-9C11-116E-A16D-9D476433C4EF}"/>
              </a:ext>
            </a:extLst>
          </xdr:cNvPr>
          <xdr:cNvSpPr/>
        </xdr:nvSpPr>
        <xdr:spPr>
          <a:xfrm>
            <a:off x="11554612" y="576182"/>
            <a:ext cx="2001080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DE2A8C3-D813-4340-81E9-B4CA2168DA69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1184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31813349-02A5-710F-1F6A-CDC448CBB7EE}"/>
              </a:ext>
            </a:extLst>
          </xdr:cNvPr>
          <xdr:cNvSpPr txBox="1"/>
        </xdr:nvSpPr>
        <xdr:spPr>
          <a:xfrm>
            <a:off x="1651313" y="772766"/>
            <a:ext cx="3291390" cy="467200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rgbClr val="008B2C"/>
                </a:solidFill>
              </a:rPr>
              <a:t>NIGERIA</a:t>
            </a:r>
            <a:r>
              <a:rPr lang="en-US" sz="1200" b="1">
                <a:solidFill>
                  <a:srgbClr val="008B2C"/>
                </a:solidFill>
              </a:rPr>
              <a:t> </a:t>
            </a:r>
            <a:r>
              <a:rPr lang="en-US" sz="2400" b="1">
                <a:solidFill>
                  <a:srgbClr val="008B2C"/>
                </a:solidFill>
              </a:rPr>
              <a:t>KIDNAPPING</a:t>
            </a:r>
            <a:endParaRPr lang="en-US" sz="1200" b="1">
              <a:solidFill>
                <a:srgbClr val="008B2C"/>
              </a:solidFill>
            </a:endParaRPr>
          </a:p>
        </xdr:txBody>
      </xdr:sp>
      <xdr:sp macro="" textlink="">
        <xdr:nvSpPr>
          <xdr:cNvPr id="42" name="Rectangle: Rounded Corners 41">
            <a:extLst>
              <a:ext uri="{FF2B5EF4-FFF2-40B4-BE49-F238E27FC236}">
                <a16:creationId xmlns:a16="http://schemas.microsoft.com/office/drawing/2014/main" id="{03B41700-30B7-7FB4-C8CF-695C2718B4C6}"/>
              </a:ext>
            </a:extLst>
          </xdr:cNvPr>
          <xdr:cNvSpPr/>
        </xdr:nvSpPr>
        <xdr:spPr>
          <a:xfrm>
            <a:off x="9859994" y="5160916"/>
            <a:ext cx="8275584" cy="3212474"/>
          </a:xfrm>
          <a:prstGeom prst="roundRect">
            <a:avLst>
              <a:gd name="adj" fmla="val 545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3" name="Rectangle: Rounded Corners 42">
            <a:extLst>
              <a:ext uri="{FF2B5EF4-FFF2-40B4-BE49-F238E27FC236}">
                <a16:creationId xmlns:a16="http://schemas.microsoft.com/office/drawing/2014/main" id="{D7C2E608-6EAC-E22F-690F-33145AEC1E14}"/>
              </a:ext>
            </a:extLst>
          </xdr:cNvPr>
          <xdr:cNvSpPr/>
        </xdr:nvSpPr>
        <xdr:spPr>
          <a:xfrm>
            <a:off x="1749233" y="5127868"/>
            <a:ext cx="7855678" cy="3212474"/>
          </a:xfrm>
          <a:prstGeom prst="roundRect">
            <a:avLst>
              <a:gd name="adj" fmla="val 6579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4" name="Rectangle: Rounded Corners 43">
            <a:extLst>
              <a:ext uri="{FF2B5EF4-FFF2-40B4-BE49-F238E27FC236}">
                <a16:creationId xmlns:a16="http://schemas.microsoft.com/office/drawing/2014/main" id="{21EF2DF7-E9F2-1CFE-4D0D-16F42B7601A0}"/>
              </a:ext>
            </a:extLst>
          </xdr:cNvPr>
          <xdr:cNvSpPr/>
        </xdr:nvSpPr>
        <xdr:spPr>
          <a:xfrm>
            <a:off x="1656654" y="1802294"/>
            <a:ext cx="7987946" cy="3212475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CF1793F0-A89E-E369-273F-18E6F02F83B0}"/>
              </a:ext>
            </a:extLst>
          </xdr:cNvPr>
          <xdr:cNvSpPr txBox="1"/>
        </xdr:nvSpPr>
        <xdr:spPr>
          <a:xfrm>
            <a:off x="5173613" y="656062"/>
            <a:ext cx="2171012" cy="5117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Incidents</a:t>
            </a: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987BC9D6-3054-1311-18FE-E15975736A8E}"/>
              </a:ext>
            </a:extLst>
          </xdr:cNvPr>
          <xdr:cNvSpPr txBox="1"/>
        </xdr:nvSpPr>
        <xdr:spPr>
          <a:xfrm>
            <a:off x="6446233" y="455077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Victims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FC6D4488-A87F-FBE4-DD07-70C365B9B44B}"/>
              </a:ext>
            </a:extLst>
          </xdr:cNvPr>
          <xdr:cNvSpPr txBox="1"/>
        </xdr:nvSpPr>
        <xdr:spPr>
          <a:xfrm>
            <a:off x="8538736" y="434296"/>
            <a:ext cx="3834184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Living</a:t>
            </a:r>
          </a:p>
        </xdr:txBody>
      </xdr:sp>
      <xdr:sp macro="" textlink="">
        <xdr:nvSpPr>
          <xdr:cNvPr id="50" name="TextBox 49">
            <a:extLst>
              <a:ext uri="{FF2B5EF4-FFF2-40B4-BE49-F238E27FC236}">
                <a16:creationId xmlns:a16="http://schemas.microsoft.com/office/drawing/2014/main" id="{61107FC2-25CD-D4D5-AB04-6B0DD1F13036}"/>
              </a:ext>
            </a:extLst>
          </xdr:cNvPr>
          <xdr:cNvSpPr txBox="1"/>
        </xdr:nvSpPr>
        <xdr:spPr>
          <a:xfrm>
            <a:off x="13053446" y="616341"/>
            <a:ext cx="3295856" cy="61933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Unknown</a:t>
            </a:r>
          </a:p>
        </xdr:txBody>
      </xdr:sp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13DB0C37-04AB-F3EE-2BA2-81690B8C1CCD}"/>
              </a:ext>
            </a:extLst>
          </xdr:cNvPr>
          <xdr:cNvSpPr txBox="1"/>
        </xdr:nvSpPr>
        <xdr:spPr>
          <a:xfrm>
            <a:off x="10647902" y="430958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Dead</a:t>
            </a:r>
          </a:p>
        </xdr:txBody>
      </xdr: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C8F8396F-1563-641D-B19E-5F5C93F5517C}"/>
              </a:ext>
            </a:extLst>
          </xdr:cNvPr>
          <xdr:cNvSpPr txBox="1"/>
        </xdr:nvSpPr>
        <xdr:spPr>
          <a:xfrm>
            <a:off x="1807174" y="1717074"/>
            <a:ext cx="5797379" cy="6120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Percentage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FD0D4413-B4E9-F2FA-628A-251AA37FF74C}"/>
              </a:ext>
            </a:extLst>
          </xdr:cNvPr>
          <xdr:cNvSpPr txBox="1"/>
        </xdr:nvSpPr>
        <xdr:spPr>
          <a:xfrm>
            <a:off x="1769074" y="2186244"/>
            <a:ext cx="6786692" cy="4413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is the percentage incident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7E585AAE-899F-76B2-8D72-E7FFA51A6709}"/>
              </a:ext>
            </a:extLst>
          </xdr:cNvPr>
          <xdr:cNvSpPr txBox="1"/>
        </xdr:nvSpPr>
        <xdr:spPr>
          <a:xfrm>
            <a:off x="9966366" y="1825839"/>
            <a:ext cx="5798667" cy="441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Number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Location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00EBC2E6-9FAB-A615-D4E1-62E22127C0E6}"/>
              </a:ext>
            </a:extLst>
          </xdr:cNvPr>
          <xdr:cNvSpPr txBox="1"/>
        </xdr:nvSpPr>
        <xdr:spPr>
          <a:xfrm>
            <a:off x="9928266" y="2257682"/>
            <a:ext cx="6786693" cy="30801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location type had the highest kidnappings?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43A61520-4685-6CFE-0469-24DECCC6EF06}"/>
              </a:ext>
            </a:extLst>
          </xdr:cNvPr>
          <xdr:cNvSpPr txBox="1"/>
        </xdr:nvSpPr>
        <xdr:spPr>
          <a:xfrm>
            <a:off x="1961739" y="5207420"/>
            <a:ext cx="7147365" cy="33279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Incidents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over Time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A458D9F9-CD4F-4DCF-E73B-53A1E9C616DD}"/>
              </a:ext>
            </a:extLst>
          </xdr:cNvPr>
          <xdr:cNvSpPr txBox="1"/>
        </xdr:nvSpPr>
        <xdr:spPr>
          <a:xfrm>
            <a:off x="1941960" y="5531883"/>
            <a:ext cx="6786692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trend look like over time?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A8CD8657-5687-04A2-BA34-4E372C6D4AF9}"/>
              </a:ext>
            </a:extLst>
          </xdr:cNvPr>
          <xdr:cNvSpPr txBox="1"/>
        </xdr:nvSpPr>
        <xdr:spPr>
          <a:xfrm>
            <a:off x="10008533" y="5225393"/>
            <a:ext cx="7147366" cy="3424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Incidents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by Settlement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96894BFB-8CA9-1514-EC54-861F1205CFF7}"/>
              </a:ext>
            </a:extLst>
          </xdr:cNvPr>
          <xdr:cNvSpPr txBox="1"/>
        </xdr:nvSpPr>
        <xdr:spPr>
          <a:xfrm>
            <a:off x="10000449" y="5450651"/>
            <a:ext cx="6786693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 baseline="0">
                <a:solidFill>
                  <a:srgbClr val="008B2C"/>
                </a:solidFill>
              </a:rPr>
              <a:t>Were the Incidents higher in Urban or Rural areas?</a:t>
            </a:r>
            <a:endParaRPr lang="en-US" sz="1800" b="1" i="1">
              <a:solidFill>
                <a:srgbClr val="008B2C"/>
              </a:solidFill>
            </a:endParaRPr>
          </a:p>
        </xdr:txBody>
      </xdr:sp>
    </xdr:grpSp>
    <xdr:clientData/>
  </xdr:twoCellAnchor>
  <xdr:twoCellAnchor>
    <xdr:from>
      <xdr:col>18</xdr:col>
      <xdr:colOff>296199</xdr:colOff>
      <xdr:row>92</xdr:row>
      <xdr:rowOff>6600</xdr:rowOff>
    </xdr:from>
    <xdr:to>
      <xdr:col>28</xdr:col>
      <xdr:colOff>454132</xdr:colOff>
      <xdr:row>106</xdr:row>
      <xdr:rowOff>97483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AF32E06-C76E-452A-B30B-153DC3385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205946</xdr:colOff>
      <xdr:row>73</xdr:row>
      <xdr:rowOff>25744</xdr:rowOff>
    </xdr:from>
    <xdr:to>
      <xdr:col>30</xdr:col>
      <xdr:colOff>411891</xdr:colOff>
      <xdr:row>88</xdr:row>
      <xdr:rowOff>65903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5705C88C-69E9-4EB1-A3AE-8E59F8956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502983</xdr:colOff>
      <xdr:row>92</xdr:row>
      <xdr:rowOff>24422</xdr:rowOff>
    </xdr:from>
    <xdr:to>
      <xdr:col>17</xdr:col>
      <xdr:colOff>245550</xdr:colOff>
      <xdr:row>106</xdr:row>
      <xdr:rowOff>51485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DE17ECDB-D429-429B-B0B3-30639BEE9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97691</xdr:colOff>
      <xdr:row>73</xdr:row>
      <xdr:rowOff>128717</xdr:rowOff>
    </xdr:from>
    <xdr:to>
      <xdr:col>17</xdr:col>
      <xdr:colOff>146538</xdr:colOff>
      <xdr:row>87</xdr:row>
      <xdr:rowOff>136532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3E1B9B33-E875-4DA2-8EF4-C839C73FD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0.32075</cdr:x>
      <cdr:y>0.2797</cdr:y>
    </cdr:from>
    <cdr:to>
      <cdr:x>0.58176</cdr:x>
      <cdr:y>0.70654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E062872-73A8-C8A8-FFDF-F58D22D21BCB}"/>
            </a:ext>
          </a:extLst>
        </cdr:cNvPr>
        <cdr:cNvSpPr txBox="1"/>
      </cdr:nvSpPr>
      <cdr:spPr>
        <a:xfrm xmlns:a="http://schemas.openxmlformats.org/drawingml/2006/main">
          <a:off x="1833113" y="942095"/>
          <a:ext cx="1491651" cy="14377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0.22857</cdr:x>
      <cdr:y>0.27441</cdr:y>
    </cdr:from>
    <cdr:to>
      <cdr:x>0.60483</cdr:x>
      <cdr:y>0.72068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EC52D5D-D792-06E2-8274-C64BEE10B19C}"/>
            </a:ext>
          </a:extLst>
        </cdr:cNvPr>
        <cdr:cNvSpPr txBox="1"/>
      </cdr:nvSpPr>
      <cdr:spPr>
        <a:xfrm xmlns:a="http://schemas.openxmlformats.org/drawingml/2006/main">
          <a:off x="1453743" y="790841"/>
          <a:ext cx="2393156" cy="1286103"/>
        </a:xfrm>
        <a:prstGeom xmlns:a="http://schemas.openxmlformats.org/drawingml/2006/main" prst="rect">
          <a:avLst/>
        </a:prstGeom>
        <a:effectLst xmlns:a="http://schemas.openxmlformats.org/drawingml/2006/main">
          <a:glow rad="228600">
            <a:schemeClr val="accent3">
              <a:satMod val="175000"/>
              <a:alpha val="40000"/>
            </a:schemeClr>
          </a:glow>
          <a:outerShdw blurRad="50800" dist="50800" dir="5400000" algn="ctr" rotWithShape="0">
            <a:schemeClr val="accent3">
              <a:lumMod val="50000"/>
            </a:schemeClr>
          </a:outerShdw>
        </a:effectLst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3200" b="1" kern="1200">
              <a:solidFill>
                <a:srgbClr val="1B7339"/>
              </a:solidFill>
            </a:rPr>
            <a:t>RURAL</a:t>
          </a:r>
          <a:endParaRPr lang="en-US" sz="4000" b="1" kern="1200">
            <a:solidFill>
              <a:srgbClr val="1B7339"/>
            </a:solidFill>
          </a:endParaRPr>
        </a:p>
        <a:p xmlns:a="http://schemas.openxmlformats.org/drawingml/2006/main">
          <a:pPr algn="ctr"/>
          <a:r>
            <a:rPr lang="en-US" sz="3200" b="1" kern="1200">
              <a:solidFill>
                <a:srgbClr val="1B7339"/>
              </a:solidFill>
            </a:rPr>
            <a:t>118</a:t>
          </a:r>
          <a:endParaRPr lang="en-US" sz="4000" b="1" kern="1200">
            <a:solidFill>
              <a:srgbClr val="1B7339"/>
            </a:solidFill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_USER" refreshedDate="46128.304532523151" createdVersion="8" refreshedVersion="8" minRefreshableVersion="3" recordCount="14" xr:uid="{4470D359-F9C2-4ACC-AD7D-ABE61DC19F5B}">
  <cacheSource type="worksheet">
    <worksheetSource ref="A3:B17" sheet="Pivot table"/>
  </cacheSource>
  <cacheFields count="2">
    <cacheField name="Row Labels" numFmtId="0">
      <sharedItems count="14">
        <s v="Abuja"/>
        <s v="Anambra"/>
        <s v="Benue"/>
        <s v="Borno"/>
        <s v="Delta"/>
        <s v="Kaduna"/>
        <s v="Kano"/>
        <s v="Katsina"/>
        <s v="Lagos"/>
        <s v="Ogun"/>
        <s v="Oyo"/>
        <s v="Rivers"/>
        <s v="Zamfara"/>
        <s v="Grand Total"/>
      </sharedItems>
    </cacheField>
    <cacheField name="Count of Incident_ID" numFmtId="0">
      <sharedItems containsSemiMixedTypes="0" containsString="0" containsNumber="1" containsInteger="1" minValue="9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00794675924" backgroundQuery="1" createdVersion="8" refreshedVersion="8" minRefreshableVersion="3" recordCount="0" supportSubquery="1" supportAdvancedDrill="1" xr:uid="{4EE76D45-F238-449F-BECA-338920D6B5AC}">
  <cacheSource type="external" connectionId="3"/>
  <cacheFields count="3">
    <cacheField name="[Table1_3].[Year].[Year]" caption="Year" numFmtId="0" hierarchy="20" level="1">
      <sharedItems containsSemiMixedTypes="0" containsString="0" containsNumber="1" containsInteger="1" minValue="2023" maxValue="2024" count="2"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Table1_3].[Year].&amp;[2023]"/>
            <x15:cachedUniqueName index="1" name="[Table1_3].[Year].&amp;[2024]"/>
          </x15:cachedUniqueNames>
        </ext>
      </extLst>
    </cacheField>
    <cacheField name="[Measures].[Count of Incident_ID]" caption="Count of Incident_ID" numFmtId="0" hierarchy="38" level="32767"/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Year]" caption="Year" attribute="1" defaultMemberUniqueName="[Table1_3].[Year].[All]" allUniqueName="[Table1_3].[Year].[All]" dimensionUniqueName="[Table1_3]" displayFolder="" count="2" memberValueDatatype="20" unbalanced="0">
      <fieldsUsage count="2">
        <fieldUsage x="-1"/>
        <fieldUsage x="0"/>
      </fieldsUsage>
    </cacheHierarchy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297774305553" backgroundQuery="1" createdVersion="8" refreshedVersion="8" minRefreshableVersion="3" recordCount="0" supportSubquery="1" supportAdvancedDrill="1" xr:uid="{78F29C22-AFB2-4257-86D7-D00BE93209C2}">
  <cacheSource type="external" connectionId="3"/>
  <cacheFields count="3">
    <cacheField name="[Table1_3].[Outcome].[Outcome]" caption="Outcome" numFmtId="0" hierarchy="28" level="1">
      <sharedItems count="4">
        <s v="Escaped"/>
        <s v="Kidnapped"/>
        <s v="Killed"/>
        <s v="Released"/>
      </sharedItems>
    </cacheField>
    <cacheField name="[Measures].[Count of Outcome]" caption="Count of Outcome" numFmtId="0" hierarchy="43" level="32767"/>
    <cacheField name="[Table1_3].[Security_Response].[Security_Response]" caption="Security_Response" numFmtId="0" hierarchy="29" level="1">
      <sharedItems count="4">
        <s v="Delayed"/>
        <s v="Moderate"/>
        <s v="No Response"/>
        <s v="Quick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28231481479" backgroundQuery="1" createdVersion="8" refreshedVersion="8" minRefreshableVersion="3" recordCount="0" supportSubquery="1" supportAdvancedDrill="1" xr:uid="{C251FB97-B8DB-4111-89A0-F44ADACE0C6F}">
  <cacheSource type="external" connectionId="3"/>
  <cacheFields count="3"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  <cacheField name="[Measures].[Average of Ransom_Demanded_NGN]" caption="Average of Ransom_Demanded_NGN" numFmtId="0" hierarchy="45" level="32767"/>
    <cacheField name="[Measures].[Average of Ransom_Paid_NGN]" caption="Average of Ransom_Paid_NGN" numFmtId="0" hierarchy="46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24700231482" backgroundQuery="1" createdVersion="8" refreshedVersion="8" minRefreshableVersion="3" recordCount="0" supportSubquery="1" supportAdvancedDrill="1" xr:uid="{160C990F-2779-482B-A7BD-C984DDEE3D01}">
  <cacheSource type="external" connectionId="3"/>
  <cacheFields count="2">
    <cacheField name="[Measures].[Count of Incident_ID]" caption="Count of Incident_ID" numFmtId="0" hierarchy="38" level="32767"/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293586111111" backgroundQuery="1" createdVersion="8" refreshedVersion="8" minRefreshableVersion="3" recordCount="0" supportSubquery="1" supportAdvancedDrill="1" xr:uid="{A0051B68-0F1E-4959-908F-8D6D5F557762}">
  <cacheSource type="external" connectionId="3"/>
  <cacheFields count="2">
    <cacheField name="[Measures].[Count of Incident_ID]" caption="Count of Incident_ID" numFmtId="0" hierarchy="38" level="32767"/>
    <cacheField name="[Table1_3].[Urban_Rural].[Urban_Rural]" caption="Urban_Rural" numFmtId="0" hierarchy="31" level="1">
      <sharedItems count="2">
        <s v="Rural"/>
        <s v="Urban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4935300926" backgroundQuery="1" createdVersion="8" refreshedVersion="8" minRefreshableVersion="3" recordCount="0" supportSubquery="1" supportAdvancedDrill="1" xr:uid="{AFD135F7-1935-4126-8F57-095A0A84FAF1}">
  <cacheSource type="external" connectionId="3"/>
  <cacheFields count="3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Survival_Flap].[Survival_Flap]" caption="Survival_Flap" numFmtId="0" hierarchy="30" level="1">
      <sharedItems count="3">
        <s v="Alive"/>
        <s v="Dead"/>
        <s v="Unknown"/>
      </sharedItems>
    </cacheField>
    <cacheField name="[Measures].[Sum of Victims_Count]" caption="Sum of Victims_Count" numFmtId="0" hierarchy="39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0791319448" backgroundQuery="1" createdVersion="8" refreshedVersion="8" minRefreshableVersion="3" recordCount="0" supportSubquery="1" supportAdvancedDrill="1" xr:uid="{C0163BE4-1FFB-474F-8991-F91D0AF0067B}">
  <cacheSource type="external" connectionId="3"/>
  <cacheFields count="2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Victims_Count]" caption="Sum of Victims_Count" numFmtId="0" hierarchy="39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1111805554" backgroundQuery="1" createdVersion="8" refreshedVersion="8" minRefreshableVersion="3" recordCount="0" supportSubquery="1" supportAdvancedDrill="1" xr:uid="{598AFA64-89FD-40AB-B59F-444669985DBA}">
  <cacheSource type="external" connectionId="3"/>
  <cacheFields count="2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Count of Incident_ID]" caption="Count of Incident_ID" numFmtId="0" hierarchy="38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2217245367" backgroundQuery="1" createdVersion="8" refreshedVersion="8" minRefreshableVersion="3" recordCount="0" supportSubquery="1" supportAdvancedDrill="1" xr:uid="{C33B6D80-FC7E-4D17-99FE-96CFDF96AF76}">
  <cacheSource type="external" connectionId="3"/>
  <cacheFields count="3">
    <cacheField name="[Measures].[Count of Incident_ID]" caption="Count of Incident_ID" numFmtId="0" hierarchy="38" level="32767"/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Location_Type].[Location_Type]" caption="Location_Type" numFmtId="0" hierarchy="23" level="1">
      <sharedItems count="7">
        <s v="Farm"/>
        <s v="Market"/>
        <s v="Residential"/>
        <s v="Road"/>
        <s v="School"/>
        <s v="Village"/>
        <s v="Waterway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8597222221" backgroundQuery="1" createdVersion="8" refreshedVersion="8" minRefreshableVersion="3" recordCount="0" supportSubquery="1" supportAdvancedDrill="1" xr:uid="{C93AFECD-C3F8-45CA-B2B1-2675FF6E9295}">
  <cacheSource type="external" connectionId="3"/>
  <cacheFields count="4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Survival_Flap].[Survival_Flap]" caption="Survival_Flap" numFmtId="0" hierarchy="30" level="1">
      <sharedItems count="3">
        <s v="Alive"/>
        <s v="Dead"/>
        <s v="Unknown"/>
      </sharedItems>
    </cacheField>
    <cacheField name="[Measures].[Sum of Victims_Count]" caption="Sum of Victims_Count" numFmtId="0" hierarchy="39" level="32767"/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3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32.41183391204" backgroundQuery="1" createdVersion="8" refreshedVersion="8" minRefreshableVersion="3" recordCount="0" supportSubquery="1" supportAdvancedDrill="1" xr:uid="{A4694268-353A-41BD-B66B-5A2AE8696EB9}">
  <cacheSource type="external" connectionId="3"/>
  <cacheFields count="2">
    <cacheField name="[Table1_3].[State].[State]" caption="State" numFmtId="0" hierarchy="21" level="1">
      <sharedItems count="13">
        <s v="Abuja"/>
        <s v="Anambra"/>
        <s v="Benue"/>
        <s v="Borno"/>
        <s v="Delta"/>
        <s v="Kaduna"/>
        <s v="Kano"/>
        <s v="Katsina"/>
        <s v="Lagos"/>
        <s v="Ogun"/>
        <s v="Oyo"/>
        <s v="Rivers"/>
        <s v="Zamfara"/>
      </sharedItems>
    </cacheField>
    <cacheField name="[Measures].[Count of Incident_ID]" caption="Count of Incident_ID" numFmtId="0" hierarchy="38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25"/>
  </r>
  <r>
    <x v="1"/>
    <n v="16"/>
  </r>
  <r>
    <x v="2"/>
    <n v="11"/>
  </r>
  <r>
    <x v="3"/>
    <n v="14"/>
  </r>
  <r>
    <x v="4"/>
    <n v="9"/>
  </r>
  <r>
    <x v="5"/>
    <n v="23"/>
  </r>
  <r>
    <x v="6"/>
    <n v="13"/>
  </r>
  <r>
    <x v="7"/>
    <n v="16"/>
  </r>
  <r>
    <x v="8"/>
    <n v="10"/>
  </r>
  <r>
    <x v="9"/>
    <n v="12"/>
  </r>
  <r>
    <x v="10"/>
    <n v="14"/>
  </r>
  <r>
    <x v="11"/>
    <n v="14"/>
  </r>
  <r>
    <x v="12"/>
    <n v="23"/>
  </r>
  <r>
    <x v="13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1B383-DC3A-430D-8403-C112D50B642C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D24:I30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Outcome" fld="1" subtotal="count" baseField="0" baseItem="0"/>
  </dataFields>
  <chartFormats count="8"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B8FAA-77E6-4C3B-B12F-BDB7BF17E0A4}" name="PivotTable2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E52:I54" firstHeaderRow="1" firstDataRow="2" firstDataCol="1"/>
  <pivotFields count="3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ictims_Count" fld="2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F515BF-FB2D-4251-AA18-55F51DD3987A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">
    <pivotField axis="axisRow" allDrilled="1" subtotalTop="0" showAll="0" sortType="de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4">
    <i>
      <x/>
    </i>
    <i>
      <x v="12"/>
    </i>
    <i>
      <x v="5"/>
    </i>
    <i>
      <x v="1"/>
    </i>
    <i>
      <x v="7"/>
    </i>
    <i>
      <x v="3"/>
    </i>
    <i>
      <x v="11"/>
    </i>
    <i>
      <x v="10"/>
    </i>
    <i>
      <x v="6"/>
    </i>
    <i>
      <x v="9"/>
    </i>
    <i>
      <x v="2"/>
    </i>
    <i>
      <x v="8"/>
    </i>
    <i>
      <x v="4"/>
    </i>
    <i t="grand">
      <x/>
    </i>
  </rowItems>
  <colItems count="1">
    <i/>
  </colItems>
  <dataFields count="1">
    <dataField name="Count of Incident_ID" fld="1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5CDE3-3222-443A-B160-2C37DF44CBCB}" name="PivotTable2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E57:I65" firstHeaderRow="1" firstDataRow="2" firstDataCol="1"/>
  <pivotFields count="4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ictims_Count" fld="2" baseField="0" baseItem="0"/>
  </dataFields>
  <chartFormats count="3"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CF286-2650-49F7-B140-A90F21B0F49D}" name="PivotTable2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52:J53" firstHeaderRow="1" firstDataRow="1" firstDataCol="0"/>
  <pivotFields count="2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Items count="1">
    <i/>
  </rowItems>
  <colItems count="1">
    <i/>
  </colItems>
  <dataFields count="1">
    <dataField name="Sum of Victims_Count" fld="1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102D13-0DEA-46EB-B8E2-EA9B699D30D2}" name="PivotTable3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9">
  <location ref="D13:F20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Ransom_Demanded_NGN" fld="1" subtotal="average" baseField="0" baseItem="1"/>
    <dataField name="Average of Ransom_Paid_NGN" fld="2" subtotal="average" baseField="0" baseItem="1"/>
  </dataFields>
  <formats count="3">
    <format dxfId="11">
      <pivotArea grandRow="1" outline="0" collapsedLevelsAreSubtotals="1" fieldPosition="0"/>
    </format>
    <format dxfId="10">
      <pivotArea outline="0" collapsedLevelsAreSubtotals="1" fieldPosition="0"/>
    </format>
    <format dxfId="9">
      <pivotArea collapsedLevelsAreSubtotals="1" fieldPosition="0">
        <references count="1">
          <reference field="0" count="0"/>
        </references>
      </pivotArea>
    </format>
  </format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ansom_Demanded_NGN"/>
    <pivotHierarchy dragToData="1" caption="Average of Ransom_Paid_NGN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310B45-EBEE-48C7-BCE9-B7B36758F033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24:B2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Incident_ID" fld="0" subtotal="count" baseField="0" baseItem="0"/>
  </dataFields>
  <chartFormats count="9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0AD5A-9B2A-4644-85DC-FA8DE4BD73EC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D33:G47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Incident_ID" fld="1" subtotal="count" baseField="0" baseItem="0"/>
  </dataFields>
  <chartFormats count="2"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2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8C2AB-E0DE-42EF-A73D-53985BFE2762}" name="PivotTable19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52:B60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1"/>
    </i>
    <i>
      <x v="4"/>
    </i>
    <i>
      <x v="3"/>
    </i>
    <i>
      <x/>
    </i>
    <i>
      <x v="6"/>
    </i>
    <i>
      <x v="2"/>
    </i>
    <i>
      <x v="5"/>
    </i>
    <i t="grand">
      <x/>
    </i>
  </rowItems>
  <colItems count="1">
    <i/>
  </colItems>
  <dataFields count="1">
    <dataField name="Count of Incident_ID" fld="0" subtotal="count" baseField="0" baseItem="0"/>
  </dataFields>
  <chartFormats count="1"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2ED14D-C4B7-4A0A-B09B-9A1DE75A1CE8}" name="PivotTable2" cacheId="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7">
  <location ref="D3:E1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Incident_ID" fld="0" subtotal="count" baseField="0" baseItem="0"/>
  </dataFields>
  <chartFormats count="7">
    <chartFormat chart="6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2D374-7A13-4D9B-9989-7EB12C1EF355}" name="PivotTable2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55:J56" firstHeaderRow="1" firstDataRow="1" firstDataCol="0"/>
  <pivotFields count="2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Items count="1">
    <i/>
  </rowItems>
  <colItems count="1">
    <i/>
  </colItems>
  <dataFields count="1">
    <dataField name="Count of Incident_ID" fld="1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D40726-3C6D-4A05-AD2E-119F8548D63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B15" firstHeaderRow="1" firstDataRow="1" firstDataCol="1"/>
  <pivotFields count="2">
    <pivotField axis="axisRow" showAll="0">
      <items count="15">
        <item x="0"/>
        <item x="1"/>
        <item x="2"/>
        <item x="3"/>
        <item x="4"/>
        <item h="1" x="13"/>
        <item x="5"/>
        <item x="6"/>
        <item x="7"/>
        <item x="8"/>
        <item x="9"/>
        <item x="10"/>
        <item x="11"/>
        <item x="12"/>
        <item t="default"/>
      </items>
    </pivotField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Count of Incident_ID" fld="1" baseField="0" baseItem="0"/>
  </dataField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4ECCA8FE-0814-48E5-AD48-0A8D2503EECD}" autoFormatId="16" applyNumberFormats="0" applyBorderFormats="0" applyFontFormats="0" applyPatternFormats="0" applyAlignmentFormats="0" applyWidthHeightFormats="0">
  <queryTableRefresh nextId="18">
    <queryTableFields count="17">
      <queryTableField id="1" name="Incident_ID" tableColumnId="1"/>
      <queryTableField id="2" name="Date" tableColumnId="2"/>
      <queryTableField id="3" name="Month" tableColumnId="3"/>
      <queryTableField id="4" name="Year" tableColumnId="4"/>
      <queryTableField id="5" name="State" tableColumnId="5"/>
      <queryTableField id="6" name="Region" tableColumnId="6"/>
      <queryTableField id="7" name="Location_Type" tableColumnId="7"/>
      <queryTableField id="8" name="Victims_Count" tableColumnId="8"/>
      <queryTableField id="9" name="Ransom_Demanded_NGN" tableColumnId="9"/>
      <queryTableField id="10" name="Ransom_Paid_NGN" tableColumnId="10"/>
      <queryTableField id="11" name="Ransom_gap" tableColumnId="11"/>
      <queryTableField id="12" name="Outcome" tableColumnId="12"/>
      <queryTableField id="13" name="Security_Response" tableColumnId="13"/>
      <queryTableField id="14" name="Survival_Flap" tableColumnId="14"/>
      <queryTableField id="15" name="Urban_Rural" tableColumnId="15"/>
      <queryTableField id="16" name="Latitude" tableColumnId="16"/>
      <queryTableField id="17" name="Longitude" tableColumnId="17"/>
    </queryTableFields>
  </queryTableRefresh>
  <extLst>
    <ext xmlns:x15="http://schemas.microsoft.com/office/spreadsheetml/2010/11/main" uri="{883FBD77-0823-4a55-B5E3-86C4891E6966}">
      <x15:queryTable sourceDataName="Query - Table1_2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1BAC87-E6E5-476F-BFF5-527EC47823E4}" name="Table1_3" displayName="Table1_3" ref="A1:Q201" tableType="queryTable" totalsRowShown="0">
  <autoFilter ref="A1:Q201" xr:uid="{4A1BAC87-E6E5-476F-BFF5-527EC47823E4}"/>
  <tableColumns count="17">
    <tableColumn id="1" xr3:uid="{9A13DDE5-A9BF-4C8B-8FB5-39B1D1EB6031}" uniqueName="1" name="Incident_ID" queryTableFieldId="1" dataDxfId="8"/>
    <tableColumn id="2" xr3:uid="{15B09650-DF9A-4CC0-8CBF-F83F71D85D1E}" uniqueName="2" name="Date" queryTableFieldId="2" dataDxfId="7"/>
    <tableColumn id="3" xr3:uid="{AE65A083-09AB-4C1C-965A-6A8B43AA8FD4}" uniqueName="3" name="Month" queryTableFieldId="3" dataDxfId="6"/>
    <tableColumn id="4" xr3:uid="{49E91BE9-D7CE-47BB-A88A-F355349F50D2}" uniqueName="4" name="Year" queryTableFieldId="4"/>
    <tableColumn id="5" xr3:uid="{402C3A22-B01E-44B6-94F6-ECBAE41A98FC}" uniqueName="5" name="State" queryTableFieldId="5" dataDxfId="5"/>
    <tableColumn id="6" xr3:uid="{44E6E82C-BB2B-428F-AE4E-94179F2405FD}" uniqueName="6" name="Region" queryTableFieldId="6" dataDxfId="4"/>
    <tableColumn id="7" xr3:uid="{1D646602-D976-4308-8A2B-7DABA9326A14}" uniqueName="7" name="Location_Type" queryTableFieldId="7" dataDxfId="3"/>
    <tableColumn id="8" xr3:uid="{E37C83C1-5982-4058-B473-9281E65749ED}" uniqueName="8" name="Victims_Count" queryTableFieldId="8"/>
    <tableColumn id="9" xr3:uid="{CD42DC13-B75D-4FEF-8324-67FCD551A351}" uniqueName="9" name="Ransom_Demanded_NGN" queryTableFieldId="9"/>
    <tableColumn id="10" xr3:uid="{00B7E2F5-686D-42C2-962E-6342B461030D}" uniqueName="10" name="Ransom_Paid_NGN" queryTableFieldId="10"/>
    <tableColumn id="11" xr3:uid="{8A068B7B-3222-45E6-AB02-A011F6F50AD9}" uniqueName="11" name="Ransom_gap" queryTableFieldId="11"/>
    <tableColumn id="12" xr3:uid="{18AE546E-0EC0-46A7-A67D-0286BC144D8F}" uniqueName="12" name="Outcome" queryTableFieldId="12" dataDxfId="2"/>
    <tableColumn id="13" xr3:uid="{C4389692-3614-429B-900B-A36393519E6E}" uniqueName="13" name="Security_Response" queryTableFieldId="13" dataDxfId="1"/>
    <tableColumn id="14" xr3:uid="{757A770D-D40C-43D3-B1A7-C10AEC68571D}" uniqueName="14" name="Survival_Flap" queryTableFieldId="14"/>
    <tableColumn id="15" xr3:uid="{EBA63084-A6B9-42A0-A951-6E12857E6C96}" uniqueName="15" name="Urban_Rural" queryTableFieldId="15" dataDxfId="0"/>
    <tableColumn id="16" xr3:uid="{A5B78106-AF37-413E-98C2-600341903A76}" uniqueName="16" name="Latitude" queryTableFieldId="16"/>
    <tableColumn id="17" xr3:uid="{E83F5747-AD48-4F79-B5A9-2AC3145C3B23}" uniqueName="17" name="Longitude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D42B-8988-4F0C-B7A1-A17833F9EE31}">
  <dimension ref="A3:R71"/>
  <sheetViews>
    <sheetView zoomScale="86" zoomScaleNormal="86" workbookViewId="0">
      <selection activeCell="B2" sqref="B2"/>
    </sheetView>
  </sheetViews>
  <sheetFormatPr defaultRowHeight="15" x14ac:dyDescent="0.25"/>
  <cols>
    <col min="1" max="1" width="13.140625" bestFit="1" customWidth="1"/>
    <col min="2" max="2" width="19.42578125" bestFit="1" customWidth="1"/>
    <col min="3" max="3" width="5" bestFit="1" customWidth="1"/>
    <col min="4" max="4" width="11.28515625" bestFit="1" customWidth="1"/>
    <col min="5" max="5" width="20.7109375" bestFit="1" customWidth="1"/>
    <col min="6" max="6" width="16.28515625" bestFit="1" customWidth="1"/>
    <col min="7" max="7" width="5.5703125" bestFit="1" customWidth="1"/>
    <col min="8" max="8" width="9.5703125" bestFit="1" customWidth="1"/>
    <col min="9" max="9" width="11.28515625" bestFit="1" customWidth="1"/>
    <col min="10" max="11" width="19.42578125" bestFit="1" customWidth="1"/>
    <col min="12" max="12" width="4.5703125" bestFit="1" customWidth="1"/>
    <col min="13" max="13" width="4.85546875" bestFit="1" customWidth="1"/>
    <col min="14" max="14" width="4.5703125" bestFit="1" customWidth="1"/>
    <col min="15" max="15" width="4" bestFit="1" customWidth="1"/>
    <col min="16" max="16" width="4.28515625" bestFit="1" customWidth="1"/>
    <col min="17" max="17" width="11.28515625" bestFit="1" customWidth="1"/>
    <col min="18" max="18" width="4.28515625" bestFit="1" customWidth="1"/>
    <col min="19" max="19" width="3.85546875" bestFit="1" customWidth="1"/>
    <col min="20" max="20" width="4.5703125" bestFit="1" customWidth="1"/>
    <col min="21" max="21" width="4.85546875" bestFit="1" customWidth="1"/>
    <col min="22" max="22" width="11.28515625" bestFit="1" customWidth="1"/>
  </cols>
  <sheetData>
    <row r="3" spans="1:18" x14ac:dyDescent="0.25">
      <c r="A3" s="2" t="s">
        <v>268</v>
      </c>
      <c r="B3" t="s">
        <v>270</v>
      </c>
      <c r="D3" s="2" t="s">
        <v>268</v>
      </c>
      <c r="E3" t="s">
        <v>270</v>
      </c>
      <c r="N3" s="3" t="s">
        <v>61</v>
      </c>
      <c r="O3">
        <v>25</v>
      </c>
    </row>
    <row r="4" spans="1:18" x14ac:dyDescent="0.25">
      <c r="A4" s="3" t="s">
        <v>61</v>
      </c>
      <c r="B4">
        <v>25</v>
      </c>
      <c r="D4" s="3" t="s">
        <v>28</v>
      </c>
      <c r="E4">
        <v>36</v>
      </c>
      <c r="N4" s="3" t="s">
        <v>14</v>
      </c>
      <c r="O4">
        <v>16</v>
      </c>
    </row>
    <row r="5" spans="1:18" x14ac:dyDescent="0.25">
      <c r="A5" s="3" t="s">
        <v>65</v>
      </c>
      <c r="B5">
        <v>23</v>
      </c>
      <c r="D5" s="3" t="s">
        <v>55</v>
      </c>
      <c r="E5">
        <v>14</v>
      </c>
      <c r="N5" s="3" t="s">
        <v>27</v>
      </c>
      <c r="O5">
        <v>11</v>
      </c>
      <c r="Q5" s="3" t="s">
        <v>28</v>
      </c>
      <c r="R5">
        <v>36</v>
      </c>
    </row>
    <row r="6" spans="1:18" x14ac:dyDescent="0.25">
      <c r="A6" s="3" t="s">
        <v>36</v>
      </c>
      <c r="B6">
        <v>23</v>
      </c>
      <c r="D6" s="3" t="s">
        <v>37</v>
      </c>
      <c r="E6">
        <v>75</v>
      </c>
      <c r="N6" s="3" t="s">
        <v>54</v>
      </c>
      <c r="O6">
        <v>14</v>
      </c>
      <c r="Q6" s="3" t="s">
        <v>55</v>
      </c>
      <c r="R6">
        <v>14</v>
      </c>
    </row>
    <row r="7" spans="1:18" x14ac:dyDescent="0.25">
      <c r="A7" s="3" t="s">
        <v>14</v>
      </c>
      <c r="B7">
        <v>16</v>
      </c>
      <c r="D7" s="3" t="s">
        <v>15</v>
      </c>
      <c r="E7">
        <v>16</v>
      </c>
      <c r="N7" s="3" t="s">
        <v>21</v>
      </c>
      <c r="O7">
        <v>9</v>
      </c>
      <c r="Q7" s="3" t="s">
        <v>37</v>
      </c>
      <c r="R7">
        <v>75</v>
      </c>
    </row>
    <row r="8" spans="1:18" x14ac:dyDescent="0.25">
      <c r="A8" s="3" t="s">
        <v>44</v>
      </c>
      <c r="B8">
        <v>16</v>
      </c>
      <c r="D8" s="3" t="s">
        <v>22</v>
      </c>
      <c r="E8">
        <v>23</v>
      </c>
      <c r="N8" s="3" t="s">
        <v>36</v>
      </c>
      <c r="O8">
        <v>23</v>
      </c>
      <c r="Q8" s="3" t="s">
        <v>15</v>
      </c>
      <c r="R8">
        <v>16</v>
      </c>
    </row>
    <row r="9" spans="1:18" x14ac:dyDescent="0.25">
      <c r="A9" s="3" t="s">
        <v>54</v>
      </c>
      <c r="B9">
        <v>14</v>
      </c>
      <c r="D9" s="3" t="s">
        <v>50</v>
      </c>
      <c r="E9">
        <v>36</v>
      </c>
      <c r="N9" s="3" t="s">
        <v>52</v>
      </c>
      <c r="O9">
        <v>13</v>
      </c>
      <c r="Q9" s="3" t="s">
        <v>22</v>
      </c>
      <c r="R9">
        <v>23</v>
      </c>
    </row>
    <row r="10" spans="1:18" x14ac:dyDescent="0.25">
      <c r="A10" s="3" t="s">
        <v>33</v>
      </c>
      <c r="B10">
        <v>14</v>
      </c>
      <c r="D10" s="3" t="s">
        <v>269</v>
      </c>
      <c r="E10">
        <v>200</v>
      </c>
      <c r="N10" s="3" t="s">
        <v>44</v>
      </c>
      <c r="O10">
        <v>16</v>
      </c>
      <c r="Q10" s="3" t="s">
        <v>50</v>
      </c>
      <c r="R10">
        <v>36</v>
      </c>
    </row>
    <row r="11" spans="1:18" x14ac:dyDescent="0.25">
      <c r="A11" s="3" t="s">
        <v>49</v>
      </c>
      <c r="B11">
        <v>14</v>
      </c>
      <c r="N11" s="3" t="s">
        <v>67</v>
      </c>
      <c r="O11">
        <v>10</v>
      </c>
    </row>
    <row r="12" spans="1:18" x14ac:dyDescent="0.25">
      <c r="A12" s="3" t="s">
        <v>52</v>
      </c>
      <c r="B12">
        <v>13</v>
      </c>
      <c r="N12" s="3" t="s">
        <v>58</v>
      </c>
      <c r="O12">
        <v>12</v>
      </c>
    </row>
    <row r="13" spans="1:18" x14ac:dyDescent="0.25">
      <c r="A13" s="3" t="s">
        <v>58</v>
      </c>
      <c r="B13">
        <v>12</v>
      </c>
      <c r="D13" s="2" t="s">
        <v>268</v>
      </c>
      <c r="E13" t="s">
        <v>274</v>
      </c>
      <c r="F13" t="s">
        <v>275</v>
      </c>
      <c r="N13" s="3" t="s">
        <v>49</v>
      </c>
      <c r="O13">
        <v>14</v>
      </c>
    </row>
    <row r="14" spans="1:18" x14ac:dyDescent="0.25">
      <c r="A14" s="3" t="s">
        <v>27</v>
      </c>
      <c r="B14">
        <v>11</v>
      </c>
      <c r="D14" s="3" t="s">
        <v>28</v>
      </c>
      <c r="E14" s="6">
        <v>38299281.305555552</v>
      </c>
      <c r="F14" s="6">
        <v>21673400.472222224</v>
      </c>
      <c r="H14" s="3" t="s">
        <v>28</v>
      </c>
      <c r="I14" s="6">
        <v>38299281.305555552</v>
      </c>
      <c r="J14" s="6">
        <v>21673400.472222224</v>
      </c>
      <c r="N14" s="3" t="s">
        <v>33</v>
      </c>
      <c r="O14">
        <v>14</v>
      </c>
    </row>
    <row r="15" spans="1:18" x14ac:dyDescent="0.25">
      <c r="A15" s="3" t="s">
        <v>67</v>
      </c>
      <c r="B15">
        <v>10</v>
      </c>
      <c r="D15" s="3" t="s">
        <v>55</v>
      </c>
      <c r="E15" s="6">
        <v>59107514.714285716</v>
      </c>
      <c r="F15" s="6">
        <v>18463770.571428571</v>
      </c>
      <c r="H15" s="3" t="s">
        <v>55</v>
      </c>
      <c r="I15" s="6">
        <v>59107514.714285716</v>
      </c>
      <c r="J15" s="6">
        <v>18463770.571428571</v>
      </c>
      <c r="N15" s="3" t="s">
        <v>65</v>
      </c>
      <c r="O15">
        <v>23</v>
      </c>
    </row>
    <row r="16" spans="1:18" x14ac:dyDescent="0.25">
      <c r="A16" s="3" t="s">
        <v>21</v>
      </c>
      <c r="B16">
        <v>9</v>
      </c>
      <c r="D16" s="3" t="s">
        <v>37</v>
      </c>
      <c r="E16" s="6">
        <v>37960950.826666668</v>
      </c>
      <c r="F16" s="6">
        <v>12623663.48</v>
      </c>
      <c r="H16" s="3" t="s">
        <v>37</v>
      </c>
      <c r="I16" s="6">
        <v>37960950.826666668</v>
      </c>
      <c r="J16" s="6">
        <v>12623663.48</v>
      </c>
    </row>
    <row r="17" spans="1:10" x14ac:dyDescent="0.25">
      <c r="A17" s="3" t="s">
        <v>269</v>
      </c>
      <c r="B17">
        <v>200</v>
      </c>
      <c r="D17" s="3" t="s">
        <v>15</v>
      </c>
      <c r="E17" s="6">
        <v>34256171</v>
      </c>
      <c r="F17" s="6">
        <v>9995479.875</v>
      </c>
      <c r="H17" s="3" t="s">
        <v>15</v>
      </c>
      <c r="I17" s="6">
        <v>34256171</v>
      </c>
      <c r="J17" s="6">
        <v>9995479.875</v>
      </c>
    </row>
    <row r="18" spans="1:10" x14ac:dyDescent="0.25">
      <c r="D18" s="3" t="s">
        <v>22</v>
      </c>
      <c r="E18" s="6">
        <v>32143816.260869566</v>
      </c>
      <c r="F18" s="6">
        <v>20760651.869565219</v>
      </c>
      <c r="H18" s="3" t="s">
        <v>22</v>
      </c>
      <c r="I18" s="6">
        <v>32143816.260869566</v>
      </c>
      <c r="J18" s="6">
        <v>20760651.869565219</v>
      </c>
    </row>
    <row r="19" spans="1:10" x14ac:dyDescent="0.25">
      <c r="D19" s="3" t="s">
        <v>50</v>
      </c>
      <c r="E19" s="6">
        <v>37721681.611111112</v>
      </c>
      <c r="F19" s="6">
        <v>12920803.138888888</v>
      </c>
      <c r="H19" s="3" t="s">
        <v>50</v>
      </c>
      <c r="I19" s="6">
        <v>37721681.611111112</v>
      </c>
      <c r="J19" s="6">
        <v>12920803.138888888</v>
      </c>
    </row>
    <row r="20" spans="1:10" x14ac:dyDescent="0.25">
      <c r="D20" s="3" t="s">
        <v>269</v>
      </c>
      <c r="E20" s="4">
        <v>38493688.465000004</v>
      </c>
      <c r="F20" s="4">
        <v>15440407.75</v>
      </c>
    </row>
    <row r="24" spans="1:10" x14ac:dyDescent="0.25">
      <c r="A24" s="2" t="s">
        <v>268</v>
      </c>
      <c r="B24" t="s">
        <v>270</v>
      </c>
      <c r="D24" s="2" t="s">
        <v>271</v>
      </c>
      <c r="E24" s="2" t="s">
        <v>272</v>
      </c>
    </row>
    <row r="25" spans="1:10" x14ac:dyDescent="0.25">
      <c r="A25" s="3" t="s">
        <v>39</v>
      </c>
      <c r="B25">
        <v>118</v>
      </c>
      <c r="D25" s="2" t="s">
        <v>268</v>
      </c>
      <c r="E25" t="s">
        <v>30</v>
      </c>
      <c r="F25" t="s">
        <v>17</v>
      </c>
      <c r="G25" t="s">
        <v>24</v>
      </c>
      <c r="H25" t="s">
        <v>69</v>
      </c>
      <c r="I25" t="s">
        <v>269</v>
      </c>
    </row>
    <row r="26" spans="1:10" x14ac:dyDescent="0.25">
      <c r="A26" s="3" t="s">
        <v>19</v>
      </c>
      <c r="B26">
        <v>82</v>
      </c>
      <c r="D26" s="3" t="s">
        <v>31</v>
      </c>
      <c r="E26">
        <v>25</v>
      </c>
      <c r="F26">
        <v>10</v>
      </c>
      <c r="G26">
        <v>15</v>
      </c>
      <c r="H26">
        <v>10</v>
      </c>
      <c r="I26">
        <v>60</v>
      </c>
      <c r="J26" s="4"/>
    </row>
    <row r="27" spans="1:10" x14ac:dyDescent="0.25">
      <c r="A27" s="3" t="s">
        <v>269</v>
      </c>
      <c r="B27">
        <v>200</v>
      </c>
      <c r="D27" s="3" t="s">
        <v>25</v>
      </c>
      <c r="E27">
        <v>8</v>
      </c>
      <c r="F27">
        <v>21</v>
      </c>
      <c r="G27">
        <v>16</v>
      </c>
      <c r="H27">
        <v>9</v>
      </c>
      <c r="I27">
        <v>54</v>
      </c>
    </row>
    <row r="28" spans="1:10" x14ac:dyDescent="0.25">
      <c r="D28" s="3" t="s">
        <v>34</v>
      </c>
      <c r="E28">
        <v>7</v>
      </c>
      <c r="F28">
        <v>5</v>
      </c>
      <c r="G28">
        <v>10</v>
      </c>
      <c r="H28">
        <v>16</v>
      </c>
      <c r="I28">
        <v>38</v>
      </c>
    </row>
    <row r="29" spans="1:10" x14ac:dyDescent="0.25">
      <c r="D29" s="3" t="s">
        <v>18</v>
      </c>
      <c r="E29">
        <v>16</v>
      </c>
      <c r="F29">
        <v>14</v>
      </c>
      <c r="G29">
        <v>13</v>
      </c>
      <c r="H29">
        <v>5</v>
      </c>
      <c r="I29">
        <v>48</v>
      </c>
    </row>
    <row r="30" spans="1:10" x14ac:dyDescent="0.25">
      <c r="D30" s="3" t="s">
        <v>269</v>
      </c>
      <c r="E30">
        <v>56</v>
      </c>
      <c r="F30">
        <v>50</v>
      </c>
      <c r="G30">
        <v>54</v>
      </c>
      <c r="H30">
        <v>40</v>
      </c>
      <c r="I30">
        <v>200</v>
      </c>
    </row>
    <row r="33" spans="4:13" x14ac:dyDescent="0.25">
      <c r="D33" s="2" t="s">
        <v>270</v>
      </c>
      <c r="E33" s="2" t="s">
        <v>272</v>
      </c>
    </row>
    <row r="34" spans="4:13" x14ac:dyDescent="0.25">
      <c r="D34" s="2" t="s">
        <v>268</v>
      </c>
      <c r="E34">
        <v>2023</v>
      </c>
      <c r="F34">
        <v>2024</v>
      </c>
      <c r="G34" t="s">
        <v>269</v>
      </c>
    </row>
    <row r="35" spans="4:13" x14ac:dyDescent="0.25">
      <c r="D35" s="3" t="s">
        <v>253</v>
      </c>
      <c r="E35">
        <v>15</v>
      </c>
      <c r="F35">
        <v>15</v>
      </c>
      <c r="G35">
        <v>30</v>
      </c>
      <c r="I35" s="3" t="s">
        <v>31</v>
      </c>
      <c r="J35">
        <v>25</v>
      </c>
      <c r="K35">
        <v>10</v>
      </c>
      <c r="L35">
        <v>15</v>
      </c>
      <c r="M35">
        <v>10</v>
      </c>
    </row>
    <row r="36" spans="4:13" x14ac:dyDescent="0.25">
      <c r="D36" s="3" t="s">
        <v>255</v>
      </c>
      <c r="E36">
        <v>12</v>
      </c>
      <c r="F36">
        <v>12</v>
      </c>
      <c r="G36">
        <v>24</v>
      </c>
      <c r="I36" s="3" t="s">
        <v>25</v>
      </c>
      <c r="J36">
        <v>8</v>
      </c>
      <c r="K36">
        <v>21</v>
      </c>
      <c r="L36">
        <v>16</v>
      </c>
      <c r="M36">
        <v>9</v>
      </c>
    </row>
    <row r="37" spans="4:13" x14ac:dyDescent="0.25">
      <c r="D37" s="3" t="s">
        <v>256</v>
      </c>
      <c r="E37">
        <v>18</v>
      </c>
      <c r="F37">
        <v>10</v>
      </c>
      <c r="G37">
        <v>28</v>
      </c>
      <c r="I37" s="3" t="s">
        <v>34</v>
      </c>
      <c r="J37">
        <v>7</v>
      </c>
      <c r="K37">
        <v>5</v>
      </c>
      <c r="L37">
        <v>10</v>
      </c>
      <c r="M37">
        <v>16</v>
      </c>
    </row>
    <row r="38" spans="4:13" x14ac:dyDescent="0.25">
      <c r="D38" s="3" t="s">
        <v>258</v>
      </c>
      <c r="E38">
        <v>7</v>
      </c>
      <c r="F38">
        <v>6</v>
      </c>
      <c r="G38">
        <v>13</v>
      </c>
      <c r="I38" s="3" t="s">
        <v>18</v>
      </c>
      <c r="J38">
        <v>16</v>
      </c>
      <c r="K38">
        <v>14</v>
      </c>
      <c r="L38">
        <v>13</v>
      </c>
      <c r="M38">
        <v>5</v>
      </c>
    </row>
    <row r="39" spans="4:13" x14ac:dyDescent="0.25">
      <c r="D39" s="3" t="s">
        <v>259</v>
      </c>
      <c r="E39">
        <v>14</v>
      </c>
      <c r="F39">
        <v>6</v>
      </c>
      <c r="G39">
        <v>20</v>
      </c>
    </row>
    <row r="40" spans="4:13" x14ac:dyDescent="0.25">
      <c r="D40" s="3" t="s">
        <v>252</v>
      </c>
      <c r="E40">
        <v>6</v>
      </c>
      <c r="G40">
        <v>6</v>
      </c>
    </row>
    <row r="41" spans="4:13" x14ac:dyDescent="0.25">
      <c r="D41" s="3" t="s">
        <v>261</v>
      </c>
      <c r="E41">
        <v>10</v>
      </c>
      <c r="G41">
        <v>10</v>
      </c>
    </row>
    <row r="42" spans="4:13" x14ac:dyDescent="0.25">
      <c r="D42" s="3" t="s">
        <v>254</v>
      </c>
      <c r="E42">
        <v>14</v>
      </c>
      <c r="G42">
        <v>14</v>
      </c>
    </row>
    <row r="43" spans="4:13" x14ac:dyDescent="0.25">
      <c r="D43" s="3" t="s">
        <v>257</v>
      </c>
      <c r="E43">
        <v>16</v>
      </c>
      <c r="G43">
        <v>16</v>
      </c>
    </row>
    <row r="44" spans="4:13" x14ac:dyDescent="0.25">
      <c r="D44" s="3" t="s">
        <v>251</v>
      </c>
      <c r="E44">
        <v>13</v>
      </c>
      <c r="G44">
        <v>13</v>
      </c>
    </row>
    <row r="45" spans="4:13" x14ac:dyDescent="0.25">
      <c r="D45" s="3" t="s">
        <v>260</v>
      </c>
      <c r="E45">
        <v>11</v>
      </c>
      <c r="G45">
        <v>11</v>
      </c>
    </row>
    <row r="46" spans="4:13" x14ac:dyDescent="0.25">
      <c r="D46" s="3" t="s">
        <v>262</v>
      </c>
      <c r="E46">
        <v>15</v>
      </c>
      <c r="G46">
        <v>15</v>
      </c>
    </row>
    <row r="47" spans="4:13" x14ac:dyDescent="0.25">
      <c r="D47" s="3" t="s">
        <v>269</v>
      </c>
      <c r="E47">
        <v>151</v>
      </c>
      <c r="F47">
        <v>49</v>
      </c>
      <c r="G47">
        <v>200</v>
      </c>
    </row>
    <row r="52" spans="1:14" x14ac:dyDescent="0.25">
      <c r="A52" s="2" t="s">
        <v>268</v>
      </c>
      <c r="B52" t="s">
        <v>270</v>
      </c>
      <c r="F52" s="2" t="s">
        <v>272</v>
      </c>
      <c r="J52" t="s">
        <v>276</v>
      </c>
    </row>
    <row r="53" spans="1:14" x14ac:dyDescent="0.25">
      <c r="A53" s="3" t="s">
        <v>29</v>
      </c>
      <c r="B53">
        <v>34</v>
      </c>
      <c r="F53" t="s">
        <v>265</v>
      </c>
      <c r="G53" t="s">
        <v>267</v>
      </c>
      <c r="H53" t="s">
        <v>266</v>
      </c>
      <c r="I53" t="s">
        <v>269</v>
      </c>
      <c r="J53">
        <v>4134</v>
      </c>
    </row>
    <row r="54" spans="1:14" x14ac:dyDescent="0.25">
      <c r="A54" s="3" t="s">
        <v>23</v>
      </c>
      <c r="B54">
        <v>33</v>
      </c>
      <c r="E54" t="s">
        <v>276</v>
      </c>
      <c r="F54">
        <v>1802</v>
      </c>
      <c r="G54">
        <v>1184</v>
      </c>
      <c r="H54">
        <v>1148</v>
      </c>
      <c r="I54">
        <v>4134</v>
      </c>
    </row>
    <row r="55" spans="1:14" x14ac:dyDescent="0.25">
      <c r="A55" s="3" t="s">
        <v>47</v>
      </c>
      <c r="B55">
        <v>33</v>
      </c>
      <c r="J55" t="s">
        <v>270</v>
      </c>
    </row>
    <row r="56" spans="1:14" x14ac:dyDescent="0.25">
      <c r="A56" s="3" t="s">
        <v>56</v>
      </c>
      <c r="B56">
        <v>27</v>
      </c>
      <c r="J56">
        <v>200</v>
      </c>
    </row>
    <row r="57" spans="1:14" x14ac:dyDescent="0.25">
      <c r="A57" s="3" t="s">
        <v>16</v>
      </c>
      <c r="B57">
        <v>27</v>
      </c>
      <c r="E57" s="2" t="s">
        <v>276</v>
      </c>
      <c r="F57" s="2" t="s">
        <v>272</v>
      </c>
    </row>
    <row r="58" spans="1:14" x14ac:dyDescent="0.25">
      <c r="A58" s="3" t="s">
        <v>42</v>
      </c>
      <c r="B58">
        <v>27</v>
      </c>
      <c r="E58" s="2" t="s">
        <v>268</v>
      </c>
      <c r="F58" t="s">
        <v>265</v>
      </c>
      <c r="G58" t="s">
        <v>267</v>
      </c>
      <c r="H58" t="s">
        <v>266</v>
      </c>
      <c r="I58" t="s">
        <v>269</v>
      </c>
    </row>
    <row r="59" spans="1:14" x14ac:dyDescent="0.25">
      <c r="A59" s="3" t="s">
        <v>38</v>
      </c>
      <c r="B59">
        <v>19</v>
      </c>
      <c r="E59" s="3" t="s">
        <v>28</v>
      </c>
      <c r="F59">
        <v>377</v>
      </c>
      <c r="G59">
        <v>179</v>
      </c>
      <c r="H59">
        <v>255</v>
      </c>
      <c r="I59">
        <v>811</v>
      </c>
      <c r="J59" s="3" t="s">
        <v>61</v>
      </c>
      <c r="K59">
        <v>257</v>
      </c>
      <c r="L59">
        <v>110</v>
      </c>
      <c r="M59">
        <v>182</v>
      </c>
      <c r="N59">
        <v>549</v>
      </c>
    </row>
    <row r="60" spans="1:14" x14ac:dyDescent="0.25">
      <c r="A60" s="3" t="s">
        <v>269</v>
      </c>
      <c r="B60">
        <v>200</v>
      </c>
      <c r="E60" s="3" t="s">
        <v>55</v>
      </c>
      <c r="F60">
        <v>98</v>
      </c>
      <c r="G60">
        <v>155</v>
      </c>
      <c r="H60">
        <v>94</v>
      </c>
      <c r="I60">
        <v>347</v>
      </c>
      <c r="J60" s="3" t="s">
        <v>14</v>
      </c>
      <c r="K60">
        <v>83</v>
      </c>
      <c r="L60">
        <v>85</v>
      </c>
      <c r="M60">
        <v>158</v>
      </c>
      <c r="N60">
        <v>326</v>
      </c>
    </row>
    <row r="61" spans="1:14" x14ac:dyDescent="0.25">
      <c r="E61" s="3" t="s">
        <v>37</v>
      </c>
      <c r="F61">
        <v>699</v>
      </c>
      <c r="G61">
        <v>428</v>
      </c>
      <c r="H61">
        <v>317</v>
      </c>
      <c r="I61">
        <v>1444</v>
      </c>
      <c r="J61" s="3" t="s">
        <v>27</v>
      </c>
      <c r="K61">
        <v>120</v>
      </c>
      <c r="L61">
        <v>69</v>
      </c>
      <c r="M61">
        <v>73</v>
      </c>
      <c r="N61">
        <v>262</v>
      </c>
    </row>
    <row r="62" spans="1:14" x14ac:dyDescent="0.25">
      <c r="E62" s="3" t="s">
        <v>15</v>
      </c>
      <c r="F62">
        <v>83</v>
      </c>
      <c r="G62">
        <v>85</v>
      </c>
      <c r="H62">
        <v>158</v>
      </c>
      <c r="I62">
        <v>326</v>
      </c>
      <c r="J62" s="3" t="s">
        <v>54</v>
      </c>
      <c r="K62">
        <v>98</v>
      </c>
      <c r="L62">
        <v>155</v>
      </c>
      <c r="M62">
        <v>94</v>
      </c>
      <c r="N62">
        <v>347</v>
      </c>
    </row>
    <row r="63" spans="1:14" x14ac:dyDescent="0.25">
      <c r="E63" s="3" t="s">
        <v>22</v>
      </c>
      <c r="F63">
        <v>197</v>
      </c>
      <c r="G63">
        <v>160</v>
      </c>
      <c r="H63">
        <v>156</v>
      </c>
      <c r="I63">
        <v>513</v>
      </c>
      <c r="J63" s="3" t="s">
        <v>21</v>
      </c>
      <c r="K63">
        <v>38</v>
      </c>
      <c r="L63">
        <v>105</v>
      </c>
      <c r="M63">
        <v>52</v>
      </c>
      <c r="N63">
        <v>195</v>
      </c>
    </row>
    <row r="64" spans="1:14" x14ac:dyDescent="0.25">
      <c r="E64" s="3" t="s">
        <v>50</v>
      </c>
      <c r="F64">
        <v>348</v>
      </c>
      <c r="G64">
        <v>177</v>
      </c>
      <c r="H64">
        <v>168</v>
      </c>
      <c r="I64">
        <v>693</v>
      </c>
      <c r="J64" s="3" t="s">
        <v>36</v>
      </c>
      <c r="K64">
        <v>238</v>
      </c>
      <c r="L64">
        <v>122</v>
      </c>
      <c r="M64">
        <v>156</v>
      </c>
      <c r="N64">
        <v>516</v>
      </c>
    </row>
    <row r="65" spans="5:14" x14ac:dyDescent="0.25">
      <c r="E65" s="3" t="s">
        <v>269</v>
      </c>
      <c r="F65">
        <v>1802</v>
      </c>
      <c r="G65">
        <v>1184</v>
      </c>
      <c r="H65">
        <v>1148</v>
      </c>
      <c r="I65">
        <v>4134</v>
      </c>
      <c r="J65" s="3" t="s">
        <v>52</v>
      </c>
      <c r="K65">
        <v>75</v>
      </c>
      <c r="L65">
        <v>123</v>
      </c>
      <c r="M65">
        <v>45</v>
      </c>
      <c r="N65">
        <v>243</v>
      </c>
    </row>
    <row r="66" spans="5:14" x14ac:dyDescent="0.25">
      <c r="J66" s="3" t="s">
        <v>44</v>
      </c>
      <c r="K66">
        <v>119</v>
      </c>
      <c r="L66">
        <v>108</v>
      </c>
      <c r="M66">
        <v>12</v>
      </c>
      <c r="N66">
        <v>239</v>
      </c>
    </row>
    <row r="67" spans="5:14" x14ac:dyDescent="0.25">
      <c r="J67" s="3" t="s">
        <v>67</v>
      </c>
      <c r="K67">
        <v>57</v>
      </c>
      <c r="L67">
        <v>61</v>
      </c>
      <c r="M67">
        <v>47</v>
      </c>
      <c r="N67">
        <v>165</v>
      </c>
    </row>
    <row r="68" spans="5:14" x14ac:dyDescent="0.25">
      <c r="J68" s="3" t="s">
        <v>58</v>
      </c>
      <c r="K68">
        <v>123</v>
      </c>
      <c r="L68">
        <v>62</v>
      </c>
      <c r="M68">
        <v>72</v>
      </c>
      <c r="N68">
        <v>257</v>
      </c>
    </row>
    <row r="69" spans="5:14" x14ac:dyDescent="0.25">
      <c r="J69" s="3" t="s">
        <v>49</v>
      </c>
      <c r="K69">
        <v>168</v>
      </c>
      <c r="L69">
        <v>54</v>
      </c>
      <c r="M69">
        <v>49</v>
      </c>
      <c r="N69">
        <v>271</v>
      </c>
    </row>
    <row r="70" spans="5:14" x14ac:dyDescent="0.25">
      <c r="J70" s="3" t="s">
        <v>33</v>
      </c>
      <c r="K70">
        <v>159</v>
      </c>
      <c r="L70">
        <v>55</v>
      </c>
      <c r="M70">
        <v>104</v>
      </c>
      <c r="N70">
        <v>318</v>
      </c>
    </row>
    <row r="71" spans="5:14" x14ac:dyDescent="0.25">
      <c r="J71" s="3" t="s">
        <v>65</v>
      </c>
      <c r="K71">
        <v>267</v>
      </c>
      <c r="L71">
        <v>75</v>
      </c>
      <c r="M71">
        <v>104</v>
      </c>
      <c r="N71">
        <v>446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7AD28-918F-4B9F-BE0E-64B30A524BE1}">
  <dimension ref="A1:Q201"/>
  <sheetViews>
    <sheetView topLeftCell="D1" workbookViewId="0">
      <selection activeCell="K1" sqref="K1:K1048576"/>
    </sheetView>
  </sheetViews>
  <sheetFormatPr defaultRowHeight="15" x14ac:dyDescent="0.25"/>
  <cols>
    <col min="1" max="1" width="13.42578125" bestFit="1" customWidth="1"/>
    <col min="2" max="2" width="14.85546875" bestFit="1" customWidth="1"/>
    <col min="3" max="3" width="9.28515625" bestFit="1" customWidth="1"/>
    <col min="4" max="4" width="7.28515625" bestFit="1" customWidth="1"/>
    <col min="5" max="5" width="9" bestFit="1" customWidth="1"/>
    <col min="6" max="6" width="13.140625" bestFit="1" customWidth="1"/>
    <col min="7" max="7" width="16.140625" bestFit="1" customWidth="1"/>
    <col min="8" max="8" width="16.28515625" bestFit="1" customWidth="1"/>
    <col min="9" max="9" width="26.7109375" bestFit="1" customWidth="1"/>
    <col min="10" max="10" width="20.7109375" bestFit="1" customWidth="1"/>
    <col min="11" max="11" width="14.42578125" bestFit="1" customWidth="1"/>
    <col min="12" max="12" width="11.42578125" bestFit="1" customWidth="1"/>
    <col min="13" max="13" width="20.28515625" bestFit="1" customWidth="1"/>
    <col min="14" max="14" width="15" bestFit="1" customWidth="1"/>
    <col min="15" max="15" width="14.28515625" bestFit="1" customWidth="1"/>
    <col min="16" max="16" width="10.5703125" bestFit="1" customWidth="1"/>
    <col min="17" max="17" width="12.140625" bestFit="1" customWidth="1"/>
  </cols>
  <sheetData>
    <row r="1" spans="1:17" x14ac:dyDescent="0.25">
      <c r="A1" t="s">
        <v>0</v>
      </c>
      <c r="B1" t="s">
        <v>1</v>
      </c>
      <c r="C1" t="s">
        <v>249</v>
      </c>
      <c r="D1" t="s">
        <v>250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263</v>
      </c>
      <c r="L1" t="s">
        <v>8</v>
      </c>
      <c r="M1" t="s">
        <v>9</v>
      </c>
      <c r="N1" t="s">
        <v>264</v>
      </c>
      <c r="O1" t="s">
        <v>10</v>
      </c>
      <c r="P1" t="s">
        <v>11</v>
      </c>
      <c r="Q1" t="s">
        <v>12</v>
      </c>
    </row>
    <row r="2" spans="1:17" x14ac:dyDescent="0.25">
      <c r="A2" t="s">
        <v>46</v>
      </c>
      <c r="B2" s="1">
        <v>45072</v>
      </c>
      <c r="C2" t="s">
        <v>259</v>
      </c>
      <c r="D2">
        <v>2023</v>
      </c>
      <c r="E2" t="s">
        <v>33</v>
      </c>
      <c r="F2" t="s">
        <v>22</v>
      </c>
      <c r="G2" t="s">
        <v>47</v>
      </c>
      <c r="H2">
        <v>36</v>
      </c>
      <c r="I2">
        <v>0</v>
      </c>
      <c r="J2">
        <v>0</v>
      </c>
      <c r="K2">
        <v>0</v>
      </c>
      <c r="L2" t="s">
        <v>30</v>
      </c>
      <c r="M2" t="s">
        <v>31</v>
      </c>
      <c r="N2" t="s">
        <v>265</v>
      </c>
      <c r="O2" t="s">
        <v>39</v>
      </c>
      <c r="P2">
        <v>4.75</v>
      </c>
      <c r="Q2">
        <v>7.01</v>
      </c>
    </row>
    <row r="3" spans="1:17" x14ac:dyDescent="0.25">
      <c r="A3" t="s">
        <v>51</v>
      </c>
      <c r="B3" s="1">
        <v>44948</v>
      </c>
      <c r="C3" t="s">
        <v>253</v>
      </c>
      <c r="D3">
        <v>2023</v>
      </c>
      <c r="E3" t="s">
        <v>52</v>
      </c>
      <c r="F3" t="s">
        <v>37</v>
      </c>
      <c r="G3" t="s">
        <v>42</v>
      </c>
      <c r="H3">
        <v>9</v>
      </c>
      <c r="I3">
        <v>0</v>
      </c>
      <c r="J3">
        <v>0</v>
      </c>
      <c r="K3">
        <v>0</v>
      </c>
      <c r="L3" t="s">
        <v>17</v>
      </c>
      <c r="M3" t="s">
        <v>18</v>
      </c>
      <c r="N3" t="s">
        <v>266</v>
      </c>
      <c r="O3" t="s">
        <v>39</v>
      </c>
      <c r="P3">
        <v>12</v>
      </c>
      <c r="Q3">
        <v>8.52</v>
      </c>
    </row>
    <row r="4" spans="1:17" x14ac:dyDescent="0.25">
      <c r="A4" t="s">
        <v>59</v>
      </c>
      <c r="B4" s="1">
        <v>45121</v>
      </c>
      <c r="C4" t="s">
        <v>261</v>
      </c>
      <c r="D4">
        <v>2023</v>
      </c>
      <c r="E4" t="s">
        <v>36</v>
      </c>
      <c r="F4" t="s">
        <v>37</v>
      </c>
      <c r="G4" t="s">
        <v>16</v>
      </c>
      <c r="H4">
        <v>37</v>
      </c>
      <c r="I4">
        <v>0</v>
      </c>
      <c r="J4">
        <v>0</v>
      </c>
      <c r="K4">
        <v>0</v>
      </c>
      <c r="L4" t="s">
        <v>24</v>
      </c>
      <c r="M4" t="s">
        <v>34</v>
      </c>
      <c r="N4" t="s">
        <v>267</v>
      </c>
      <c r="O4" t="s">
        <v>19</v>
      </c>
      <c r="P4">
        <v>10.52</v>
      </c>
      <c r="Q4">
        <v>7.44</v>
      </c>
    </row>
    <row r="5" spans="1:17" x14ac:dyDescent="0.25">
      <c r="A5" t="s">
        <v>70</v>
      </c>
      <c r="B5" s="1">
        <v>44964</v>
      </c>
      <c r="C5" t="s">
        <v>255</v>
      </c>
      <c r="D5">
        <v>2023</v>
      </c>
      <c r="E5" t="s">
        <v>44</v>
      </c>
      <c r="F5" t="s">
        <v>37</v>
      </c>
      <c r="G5" t="s">
        <v>38</v>
      </c>
      <c r="H5">
        <v>12</v>
      </c>
      <c r="I5">
        <v>0</v>
      </c>
      <c r="J5">
        <v>0</v>
      </c>
      <c r="K5">
        <v>0</v>
      </c>
      <c r="L5" t="s">
        <v>17</v>
      </c>
      <c r="M5" t="s">
        <v>18</v>
      </c>
      <c r="N5" t="s">
        <v>266</v>
      </c>
      <c r="O5" t="s">
        <v>19</v>
      </c>
      <c r="P5">
        <v>12.99</v>
      </c>
      <c r="Q5">
        <v>7.6</v>
      </c>
    </row>
    <row r="6" spans="1:17" x14ac:dyDescent="0.25">
      <c r="A6" t="s">
        <v>78</v>
      </c>
      <c r="B6" s="1">
        <v>45392</v>
      </c>
      <c r="C6" t="s">
        <v>258</v>
      </c>
      <c r="D6">
        <v>2024</v>
      </c>
      <c r="E6" t="s">
        <v>14</v>
      </c>
      <c r="F6" t="s">
        <v>15</v>
      </c>
      <c r="G6" t="s">
        <v>42</v>
      </c>
      <c r="H6">
        <v>20</v>
      </c>
      <c r="I6">
        <v>0</v>
      </c>
      <c r="J6">
        <v>0</v>
      </c>
      <c r="K6">
        <v>0</v>
      </c>
      <c r="L6" t="s">
        <v>30</v>
      </c>
      <c r="M6" t="s">
        <v>31</v>
      </c>
      <c r="N6" t="s">
        <v>265</v>
      </c>
      <c r="O6" t="s">
        <v>39</v>
      </c>
      <c r="P6">
        <v>6.21</v>
      </c>
      <c r="Q6">
        <v>7.07</v>
      </c>
    </row>
    <row r="7" spans="1:17" x14ac:dyDescent="0.25">
      <c r="A7" t="s">
        <v>81</v>
      </c>
      <c r="B7" s="1">
        <v>45262</v>
      </c>
      <c r="C7" t="s">
        <v>262</v>
      </c>
      <c r="D7">
        <v>2023</v>
      </c>
      <c r="E7" t="s">
        <v>36</v>
      </c>
      <c r="F7" t="s">
        <v>37</v>
      </c>
      <c r="G7" t="s">
        <v>23</v>
      </c>
      <c r="H7">
        <v>20</v>
      </c>
      <c r="I7">
        <v>0</v>
      </c>
      <c r="J7">
        <v>0</v>
      </c>
      <c r="K7">
        <v>0</v>
      </c>
      <c r="L7" t="s">
        <v>30</v>
      </c>
      <c r="M7" t="s">
        <v>18</v>
      </c>
      <c r="N7" t="s">
        <v>265</v>
      </c>
      <c r="O7" t="s">
        <v>19</v>
      </c>
      <c r="P7">
        <v>10.52</v>
      </c>
      <c r="Q7">
        <v>7.44</v>
      </c>
    </row>
    <row r="8" spans="1:17" x14ac:dyDescent="0.25">
      <c r="A8" t="s">
        <v>84</v>
      </c>
      <c r="B8" s="1">
        <v>45016</v>
      </c>
      <c r="C8" t="s">
        <v>256</v>
      </c>
      <c r="D8">
        <v>2023</v>
      </c>
      <c r="E8" t="s">
        <v>36</v>
      </c>
      <c r="F8" t="s">
        <v>37</v>
      </c>
      <c r="G8" t="s">
        <v>47</v>
      </c>
      <c r="H8">
        <v>36</v>
      </c>
      <c r="I8">
        <v>0</v>
      </c>
      <c r="J8">
        <v>0</v>
      </c>
      <c r="K8">
        <v>0</v>
      </c>
      <c r="L8" t="s">
        <v>30</v>
      </c>
      <c r="M8" t="s">
        <v>18</v>
      </c>
      <c r="N8" t="s">
        <v>265</v>
      </c>
      <c r="O8" t="s">
        <v>39</v>
      </c>
      <c r="P8">
        <v>10.52</v>
      </c>
      <c r="Q8">
        <v>7.44</v>
      </c>
    </row>
    <row r="9" spans="1:17" x14ac:dyDescent="0.25">
      <c r="A9" t="s">
        <v>90</v>
      </c>
      <c r="B9" s="1">
        <v>45072</v>
      </c>
      <c r="C9" t="s">
        <v>259</v>
      </c>
      <c r="D9">
        <v>2023</v>
      </c>
      <c r="E9" t="s">
        <v>67</v>
      </c>
      <c r="F9" t="s">
        <v>50</v>
      </c>
      <c r="G9" t="s">
        <v>23</v>
      </c>
      <c r="H9">
        <v>34</v>
      </c>
      <c r="I9">
        <v>0</v>
      </c>
      <c r="J9">
        <v>0</v>
      </c>
      <c r="K9">
        <v>0</v>
      </c>
      <c r="L9" t="s">
        <v>17</v>
      </c>
      <c r="M9" t="s">
        <v>25</v>
      </c>
      <c r="N9" t="s">
        <v>266</v>
      </c>
      <c r="O9" t="s">
        <v>39</v>
      </c>
      <c r="P9">
        <v>6.52</v>
      </c>
      <c r="Q9">
        <v>3.37</v>
      </c>
    </row>
    <row r="10" spans="1:17" x14ac:dyDescent="0.25">
      <c r="A10" t="s">
        <v>91</v>
      </c>
      <c r="B10" s="1">
        <v>45009</v>
      </c>
      <c r="C10" t="s">
        <v>256</v>
      </c>
      <c r="D10">
        <v>2023</v>
      </c>
      <c r="E10" t="s">
        <v>65</v>
      </c>
      <c r="F10" t="s">
        <v>37</v>
      </c>
      <c r="G10" t="s">
        <v>23</v>
      </c>
      <c r="H10">
        <v>5</v>
      </c>
      <c r="I10">
        <v>0</v>
      </c>
      <c r="J10">
        <v>0</v>
      </c>
      <c r="K10">
        <v>0</v>
      </c>
      <c r="L10" t="s">
        <v>24</v>
      </c>
      <c r="M10" t="s">
        <v>18</v>
      </c>
      <c r="N10" t="s">
        <v>267</v>
      </c>
      <c r="O10" t="s">
        <v>19</v>
      </c>
      <c r="P10">
        <v>12.17</v>
      </c>
      <c r="Q10">
        <v>6.66</v>
      </c>
    </row>
    <row r="11" spans="1:17" x14ac:dyDescent="0.25">
      <c r="A11" t="s">
        <v>93</v>
      </c>
      <c r="B11" s="1">
        <v>45134</v>
      </c>
      <c r="C11" t="s">
        <v>261</v>
      </c>
      <c r="D11">
        <v>2023</v>
      </c>
      <c r="E11" t="s">
        <v>33</v>
      </c>
      <c r="F11" t="s">
        <v>22</v>
      </c>
      <c r="G11" t="s">
        <v>47</v>
      </c>
      <c r="H11">
        <v>21</v>
      </c>
      <c r="I11">
        <v>0</v>
      </c>
      <c r="J11">
        <v>0</v>
      </c>
      <c r="K11">
        <v>0</v>
      </c>
      <c r="L11" t="s">
        <v>30</v>
      </c>
      <c r="M11" t="s">
        <v>31</v>
      </c>
      <c r="N11" t="s">
        <v>265</v>
      </c>
      <c r="O11" t="s">
        <v>39</v>
      </c>
      <c r="P11">
        <v>4.75</v>
      </c>
      <c r="Q11">
        <v>7.01</v>
      </c>
    </row>
    <row r="12" spans="1:17" x14ac:dyDescent="0.25">
      <c r="A12" t="s">
        <v>97</v>
      </c>
      <c r="B12" s="1">
        <v>45310</v>
      </c>
      <c r="C12" t="s">
        <v>253</v>
      </c>
      <c r="D12">
        <v>2024</v>
      </c>
      <c r="E12" t="s">
        <v>67</v>
      </c>
      <c r="F12" t="s">
        <v>50</v>
      </c>
      <c r="G12" t="s">
        <v>29</v>
      </c>
      <c r="H12">
        <v>23</v>
      </c>
      <c r="I12">
        <v>0</v>
      </c>
      <c r="J12">
        <v>0</v>
      </c>
      <c r="K12">
        <v>0</v>
      </c>
      <c r="L12" t="s">
        <v>30</v>
      </c>
      <c r="M12" t="s">
        <v>18</v>
      </c>
      <c r="N12" t="s">
        <v>265</v>
      </c>
      <c r="O12" t="s">
        <v>39</v>
      </c>
      <c r="P12">
        <v>6.52</v>
      </c>
      <c r="Q12">
        <v>3.37</v>
      </c>
    </row>
    <row r="13" spans="1:17" x14ac:dyDescent="0.25">
      <c r="A13" t="s">
        <v>98</v>
      </c>
      <c r="B13" s="1">
        <v>44950</v>
      </c>
      <c r="C13" t="s">
        <v>253</v>
      </c>
      <c r="D13">
        <v>2023</v>
      </c>
      <c r="E13" t="s">
        <v>14</v>
      </c>
      <c r="F13" t="s">
        <v>15</v>
      </c>
      <c r="G13" t="s">
        <v>47</v>
      </c>
      <c r="H13">
        <v>2</v>
      </c>
      <c r="I13">
        <v>0</v>
      </c>
      <c r="J13">
        <v>0</v>
      </c>
      <c r="K13">
        <v>0</v>
      </c>
      <c r="L13" t="s">
        <v>30</v>
      </c>
      <c r="M13" t="s">
        <v>18</v>
      </c>
      <c r="N13" t="s">
        <v>265</v>
      </c>
      <c r="O13" t="s">
        <v>19</v>
      </c>
      <c r="P13">
        <v>6.21</v>
      </c>
      <c r="Q13">
        <v>7.07</v>
      </c>
    </row>
    <row r="14" spans="1:17" x14ac:dyDescent="0.25">
      <c r="A14" t="s">
        <v>101</v>
      </c>
      <c r="B14" s="1">
        <v>45198</v>
      </c>
      <c r="C14" t="s">
        <v>257</v>
      </c>
      <c r="D14">
        <v>2023</v>
      </c>
      <c r="E14" t="s">
        <v>61</v>
      </c>
      <c r="F14" t="s">
        <v>28</v>
      </c>
      <c r="G14" t="s">
        <v>47</v>
      </c>
      <c r="H14">
        <v>32</v>
      </c>
      <c r="I14">
        <v>0</v>
      </c>
      <c r="J14">
        <v>0</v>
      </c>
      <c r="K14">
        <v>0</v>
      </c>
      <c r="L14" t="s">
        <v>17</v>
      </c>
      <c r="M14" t="s">
        <v>18</v>
      </c>
      <c r="N14" t="s">
        <v>266</v>
      </c>
      <c r="O14" t="s">
        <v>19</v>
      </c>
      <c r="P14">
        <v>9.07</v>
      </c>
      <c r="Q14">
        <v>7.49</v>
      </c>
    </row>
    <row r="15" spans="1:17" x14ac:dyDescent="0.25">
      <c r="A15" t="s">
        <v>102</v>
      </c>
      <c r="B15" s="1">
        <v>45342</v>
      </c>
      <c r="C15" t="s">
        <v>255</v>
      </c>
      <c r="D15">
        <v>2024</v>
      </c>
      <c r="E15" t="s">
        <v>21</v>
      </c>
      <c r="F15" t="s">
        <v>22</v>
      </c>
      <c r="G15" t="s">
        <v>38</v>
      </c>
      <c r="H15">
        <v>2</v>
      </c>
      <c r="I15">
        <v>0</v>
      </c>
      <c r="J15">
        <v>0</v>
      </c>
      <c r="K15">
        <v>0</v>
      </c>
      <c r="L15" t="s">
        <v>17</v>
      </c>
      <c r="M15" t="s">
        <v>25</v>
      </c>
      <c r="N15" t="s">
        <v>266</v>
      </c>
      <c r="O15" t="s">
        <v>39</v>
      </c>
      <c r="P15">
        <v>5.7</v>
      </c>
      <c r="Q15">
        <v>5.9</v>
      </c>
    </row>
    <row r="16" spans="1:17" x14ac:dyDescent="0.25">
      <c r="A16" t="s">
        <v>111</v>
      </c>
      <c r="B16" s="1">
        <v>45015</v>
      </c>
      <c r="C16" t="s">
        <v>256</v>
      </c>
      <c r="D16">
        <v>2023</v>
      </c>
      <c r="E16" t="s">
        <v>44</v>
      </c>
      <c r="F16" t="s">
        <v>37</v>
      </c>
      <c r="G16" t="s">
        <v>23</v>
      </c>
      <c r="H16">
        <v>13</v>
      </c>
      <c r="I16">
        <v>0</v>
      </c>
      <c r="J16">
        <v>0</v>
      </c>
      <c r="K16">
        <v>0</v>
      </c>
      <c r="L16" t="s">
        <v>24</v>
      </c>
      <c r="M16" t="s">
        <v>31</v>
      </c>
      <c r="N16" t="s">
        <v>267</v>
      </c>
      <c r="O16" t="s">
        <v>39</v>
      </c>
      <c r="P16">
        <v>12.99</v>
      </c>
      <c r="Q16">
        <v>7.6</v>
      </c>
    </row>
    <row r="17" spans="1:17" x14ac:dyDescent="0.25">
      <c r="A17" t="s">
        <v>112</v>
      </c>
      <c r="B17" s="1">
        <v>45156</v>
      </c>
      <c r="C17" t="s">
        <v>254</v>
      </c>
      <c r="D17">
        <v>2023</v>
      </c>
      <c r="E17" t="s">
        <v>49</v>
      </c>
      <c r="F17" t="s">
        <v>50</v>
      </c>
      <c r="G17" t="s">
        <v>29</v>
      </c>
      <c r="H17">
        <v>40</v>
      </c>
      <c r="I17">
        <v>0</v>
      </c>
      <c r="J17">
        <v>0</v>
      </c>
      <c r="K17">
        <v>0</v>
      </c>
      <c r="L17" t="s">
        <v>24</v>
      </c>
      <c r="M17" t="s">
        <v>34</v>
      </c>
      <c r="N17" t="s">
        <v>267</v>
      </c>
      <c r="O17" t="s">
        <v>19</v>
      </c>
      <c r="P17">
        <v>7.38</v>
      </c>
      <c r="Q17">
        <v>3.93</v>
      </c>
    </row>
    <row r="18" spans="1:17" x14ac:dyDescent="0.25">
      <c r="A18" t="s">
        <v>113</v>
      </c>
      <c r="B18" s="1">
        <v>45154</v>
      </c>
      <c r="C18" t="s">
        <v>254</v>
      </c>
      <c r="D18">
        <v>2023</v>
      </c>
      <c r="E18" t="s">
        <v>52</v>
      </c>
      <c r="F18" t="s">
        <v>37</v>
      </c>
      <c r="G18" t="s">
        <v>47</v>
      </c>
      <c r="H18">
        <v>11</v>
      </c>
      <c r="I18">
        <v>0</v>
      </c>
      <c r="J18">
        <v>0</v>
      </c>
      <c r="K18">
        <v>0</v>
      </c>
      <c r="L18" t="s">
        <v>30</v>
      </c>
      <c r="M18" t="s">
        <v>18</v>
      </c>
      <c r="N18" t="s">
        <v>265</v>
      </c>
      <c r="O18" t="s">
        <v>39</v>
      </c>
      <c r="P18">
        <v>12</v>
      </c>
      <c r="Q18">
        <v>8.52</v>
      </c>
    </row>
    <row r="19" spans="1:17" x14ac:dyDescent="0.25">
      <c r="A19" t="s">
        <v>114</v>
      </c>
      <c r="B19" s="1">
        <v>45372</v>
      </c>
      <c r="C19" t="s">
        <v>256</v>
      </c>
      <c r="D19">
        <v>2024</v>
      </c>
      <c r="E19" t="s">
        <v>61</v>
      </c>
      <c r="F19" t="s">
        <v>28</v>
      </c>
      <c r="G19" t="s">
        <v>56</v>
      </c>
      <c r="H19">
        <v>6</v>
      </c>
      <c r="I19">
        <v>0</v>
      </c>
      <c r="J19">
        <v>0</v>
      </c>
      <c r="K19">
        <v>0</v>
      </c>
      <c r="L19" t="s">
        <v>30</v>
      </c>
      <c r="M19" t="s">
        <v>18</v>
      </c>
      <c r="N19" t="s">
        <v>265</v>
      </c>
      <c r="O19" t="s">
        <v>39</v>
      </c>
      <c r="P19">
        <v>9.07</v>
      </c>
      <c r="Q19">
        <v>7.49</v>
      </c>
    </row>
    <row r="20" spans="1:17" x14ac:dyDescent="0.25">
      <c r="A20" t="s">
        <v>116</v>
      </c>
      <c r="B20" s="1">
        <v>44930</v>
      </c>
      <c r="C20" t="s">
        <v>253</v>
      </c>
      <c r="D20">
        <v>2023</v>
      </c>
      <c r="E20" t="s">
        <v>36</v>
      </c>
      <c r="F20" t="s">
        <v>37</v>
      </c>
      <c r="G20" t="s">
        <v>47</v>
      </c>
      <c r="H20">
        <v>36</v>
      </c>
      <c r="I20">
        <v>0</v>
      </c>
      <c r="J20">
        <v>0</v>
      </c>
      <c r="K20">
        <v>0</v>
      </c>
      <c r="L20" t="s">
        <v>69</v>
      </c>
      <c r="M20" t="s">
        <v>31</v>
      </c>
      <c r="N20" t="s">
        <v>265</v>
      </c>
      <c r="O20" t="s">
        <v>39</v>
      </c>
      <c r="P20">
        <v>10.52</v>
      </c>
      <c r="Q20">
        <v>7.44</v>
      </c>
    </row>
    <row r="21" spans="1:17" x14ac:dyDescent="0.25">
      <c r="A21" t="s">
        <v>118</v>
      </c>
      <c r="B21" s="1">
        <v>45220</v>
      </c>
      <c r="C21" t="s">
        <v>251</v>
      </c>
      <c r="D21">
        <v>2023</v>
      </c>
      <c r="E21" t="s">
        <v>58</v>
      </c>
      <c r="F21" t="s">
        <v>50</v>
      </c>
      <c r="G21" t="s">
        <v>47</v>
      </c>
      <c r="H21">
        <v>25</v>
      </c>
      <c r="I21">
        <v>0</v>
      </c>
      <c r="J21">
        <v>0</v>
      </c>
      <c r="K21">
        <v>0</v>
      </c>
      <c r="L21" t="s">
        <v>69</v>
      </c>
      <c r="M21" t="s">
        <v>31</v>
      </c>
      <c r="N21" t="s">
        <v>265</v>
      </c>
      <c r="O21" t="s">
        <v>39</v>
      </c>
      <c r="P21">
        <v>6.9</v>
      </c>
      <c r="Q21">
        <v>3.3</v>
      </c>
    </row>
    <row r="22" spans="1:17" x14ac:dyDescent="0.25">
      <c r="A22" t="s">
        <v>124</v>
      </c>
      <c r="B22" s="1">
        <v>45408</v>
      </c>
      <c r="C22" t="s">
        <v>258</v>
      </c>
      <c r="D22">
        <v>2024</v>
      </c>
      <c r="E22" t="s">
        <v>49</v>
      </c>
      <c r="F22" t="s">
        <v>50</v>
      </c>
      <c r="G22" t="s">
        <v>29</v>
      </c>
      <c r="H22">
        <v>34</v>
      </c>
      <c r="I22">
        <v>0</v>
      </c>
      <c r="J22">
        <v>0</v>
      </c>
      <c r="K22">
        <v>0</v>
      </c>
      <c r="L22" t="s">
        <v>30</v>
      </c>
      <c r="M22" t="s">
        <v>25</v>
      </c>
      <c r="N22" t="s">
        <v>265</v>
      </c>
      <c r="O22" t="s">
        <v>39</v>
      </c>
      <c r="P22">
        <v>7.38</v>
      </c>
      <c r="Q22">
        <v>3.93</v>
      </c>
    </row>
    <row r="23" spans="1:17" x14ac:dyDescent="0.25">
      <c r="A23" t="s">
        <v>132</v>
      </c>
      <c r="B23" s="1">
        <v>45365</v>
      </c>
      <c r="C23" t="s">
        <v>256</v>
      </c>
      <c r="D23">
        <v>2024</v>
      </c>
      <c r="E23" t="s">
        <v>21</v>
      </c>
      <c r="F23" t="s">
        <v>22</v>
      </c>
      <c r="G23" t="s">
        <v>16</v>
      </c>
      <c r="H23">
        <v>36</v>
      </c>
      <c r="I23">
        <v>0</v>
      </c>
      <c r="J23">
        <v>0</v>
      </c>
      <c r="K23">
        <v>0</v>
      </c>
      <c r="L23" t="s">
        <v>24</v>
      </c>
      <c r="M23" t="s">
        <v>18</v>
      </c>
      <c r="N23" t="s">
        <v>267</v>
      </c>
      <c r="O23" t="s">
        <v>39</v>
      </c>
      <c r="P23">
        <v>5.7</v>
      </c>
      <c r="Q23">
        <v>5.9</v>
      </c>
    </row>
    <row r="24" spans="1:17" x14ac:dyDescent="0.25">
      <c r="A24" t="s">
        <v>135</v>
      </c>
      <c r="B24" s="1">
        <v>45001</v>
      </c>
      <c r="C24" t="s">
        <v>256</v>
      </c>
      <c r="D24">
        <v>2023</v>
      </c>
      <c r="E24" t="s">
        <v>14</v>
      </c>
      <c r="F24" t="s">
        <v>15</v>
      </c>
      <c r="G24" t="s">
        <v>23</v>
      </c>
      <c r="H24">
        <v>8</v>
      </c>
      <c r="I24">
        <v>0</v>
      </c>
      <c r="J24">
        <v>0</v>
      </c>
      <c r="K24">
        <v>0</v>
      </c>
      <c r="L24" t="s">
        <v>69</v>
      </c>
      <c r="M24" t="s">
        <v>25</v>
      </c>
      <c r="N24" t="s">
        <v>265</v>
      </c>
      <c r="O24" t="s">
        <v>39</v>
      </c>
      <c r="P24">
        <v>6.21</v>
      </c>
      <c r="Q24">
        <v>7.07</v>
      </c>
    </row>
    <row r="25" spans="1:17" x14ac:dyDescent="0.25">
      <c r="A25" t="s">
        <v>139</v>
      </c>
      <c r="B25" s="1">
        <v>44937</v>
      </c>
      <c r="C25" t="s">
        <v>253</v>
      </c>
      <c r="D25">
        <v>2023</v>
      </c>
      <c r="E25" t="s">
        <v>36</v>
      </c>
      <c r="F25" t="s">
        <v>37</v>
      </c>
      <c r="G25" t="s">
        <v>56</v>
      </c>
      <c r="H25">
        <v>18</v>
      </c>
      <c r="I25">
        <v>0</v>
      </c>
      <c r="J25">
        <v>0</v>
      </c>
      <c r="K25">
        <v>0</v>
      </c>
      <c r="L25" t="s">
        <v>17</v>
      </c>
      <c r="M25" t="s">
        <v>34</v>
      </c>
      <c r="N25" t="s">
        <v>266</v>
      </c>
      <c r="O25" t="s">
        <v>39</v>
      </c>
      <c r="P25">
        <v>10.52</v>
      </c>
      <c r="Q25">
        <v>7.44</v>
      </c>
    </row>
    <row r="26" spans="1:17" x14ac:dyDescent="0.25">
      <c r="A26" t="s">
        <v>140</v>
      </c>
      <c r="B26" s="1">
        <v>45026</v>
      </c>
      <c r="C26" t="s">
        <v>258</v>
      </c>
      <c r="D26">
        <v>2023</v>
      </c>
      <c r="E26" t="s">
        <v>21</v>
      </c>
      <c r="F26" t="s">
        <v>22</v>
      </c>
      <c r="G26" t="s">
        <v>42</v>
      </c>
      <c r="H26">
        <v>8</v>
      </c>
      <c r="I26">
        <v>0</v>
      </c>
      <c r="J26">
        <v>0</v>
      </c>
      <c r="K26">
        <v>0</v>
      </c>
      <c r="L26" t="s">
        <v>30</v>
      </c>
      <c r="M26" t="s">
        <v>18</v>
      </c>
      <c r="N26" t="s">
        <v>265</v>
      </c>
      <c r="O26" t="s">
        <v>39</v>
      </c>
      <c r="P26">
        <v>5.7</v>
      </c>
      <c r="Q26">
        <v>5.9</v>
      </c>
    </row>
    <row r="27" spans="1:17" x14ac:dyDescent="0.25">
      <c r="A27" t="s">
        <v>143</v>
      </c>
      <c r="B27" s="1">
        <v>45002</v>
      </c>
      <c r="C27" t="s">
        <v>256</v>
      </c>
      <c r="D27">
        <v>2023</v>
      </c>
      <c r="E27" t="s">
        <v>65</v>
      </c>
      <c r="F27" t="s">
        <v>37</v>
      </c>
      <c r="G27" t="s">
        <v>56</v>
      </c>
      <c r="H27">
        <v>13</v>
      </c>
      <c r="I27">
        <v>0</v>
      </c>
      <c r="J27">
        <v>0</v>
      </c>
      <c r="K27">
        <v>0</v>
      </c>
      <c r="L27" t="s">
        <v>30</v>
      </c>
      <c r="M27" t="s">
        <v>25</v>
      </c>
      <c r="N27" t="s">
        <v>265</v>
      </c>
      <c r="O27" t="s">
        <v>39</v>
      </c>
      <c r="P27">
        <v>12.17</v>
      </c>
      <c r="Q27">
        <v>6.66</v>
      </c>
    </row>
    <row r="28" spans="1:17" x14ac:dyDescent="0.25">
      <c r="A28" t="s">
        <v>147</v>
      </c>
      <c r="B28" s="1">
        <v>45185</v>
      </c>
      <c r="C28" t="s">
        <v>257</v>
      </c>
      <c r="D28">
        <v>2023</v>
      </c>
      <c r="E28" t="s">
        <v>61</v>
      </c>
      <c r="F28" t="s">
        <v>28</v>
      </c>
      <c r="G28" t="s">
        <v>16</v>
      </c>
      <c r="H28">
        <v>15</v>
      </c>
      <c r="I28">
        <v>0</v>
      </c>
      <c r="J28">
        <v>0</v>
      </c>
      <c r="K28">
        <v>0</v>
      </c>
      <c r="L28" t="s">
        <v>24</v>
      </c>
      <c r="M28" t="s">
        <v>31</v>
      </c>
      <c r="N28" t="s">
        <v>267</v>
      </c>
      <c r="O28" t="s">
        <v>39</v>
      </c>
      <c r="P28">
        <v>9.07</v>
      </c>
      <c r="Q28">
        <v>7.49</v>
      </c>
    </row>
    <row r="29" spans="1:17" x14ac:dyDescent="0.25">
      <c r="A29" t="s">
        <v>149</v>
      </c>
      <c r="B29" s="1">
        <v>45097</v>
      </c>
      <c r="C29" t="s">
        <v>252</v>
      </c>
      <c r="D29">
        <v>2023</v>
      </c>
      <c r="E29" t="s">
        <v>61</v>
      </c>
      <c r="F29" t="s">
        <v>28</v>
      </c>
      <c r="G29" t="s">
        <v>42</v>
      </c>
      <c r="H29">
        <v>29</v>
      </c>
      <c r="I29">
        <v>0</v>
      </c>
      <c r="J29">
        <v>0</v>
      </c>
      <c r="K29">
        <v>0</v>
      </c>
      <c r="L29" t="s">
        <v>24</v>
      </c>
      <c r="M29" t="s">
        <v>34</v>
      </c>
      <c r="N29" t="s">
        <v>267</v>
      </c>
      <c r="O29" t="s">
        <v>39</v>
      </c>
      <c r="P29">
        <v>9.07</v>
      </c>
      <c r="Q29">
        <v>7.49</v>
      </c>
    </row>
    <row r="30" spans="1:17" x14ac:dyDescent="0.25">
      <c r="A30" t="s">
        <v>150</v>
      </c>
      <c r="B30" s="1">
        <v>45208</v>
      </c>
      <c r="C30" t="s">
        <v>251</v>
      </c>
      <c r="D30">
        <v>2023</v>
      </c>
      <c r="E30" t="s">
        <v>54</v>
      </c>
      <c r="F30" t="s">
        <v>55</v>
      </c>
      <c r="G30" t="s">
        <v>38</v>
      </c>
      <c r="H30">
        <v>37</v>
      </c>
      <c r="I30">
        <v>0</v>
      </c>
      <c r="J30">
        <v>0</v>
      </c>
      <c r="K30">
        <v>0</v>
      </c>
      <c r="L30" t="s">
        <v>17</v>
      </c>
      <c r="M30" t="s">
        <v>25</v>
      </c>
      <c r="N30" t="s">
        <v>266</v>
      </c>
      <c r="O30" t="s">
        <v>19</v>
      </c>
      <c r="P30">
        <v>11.83</v>
      </c>
      <c r="Q30">
        <v>13.15</v>
      </c>
    </row>
    <row r="31" spans="1:17" x14ac:dyDescent="0.25">
      <c r="A31" t="s">
        <v>158</v>
      </c>
      <c r="B31" s="1">
        <v>45259</v>
      </c>
      <c r="C31" t="s">
        <v>260</v>
      </c>
      <c r="D31">
        <v>2023</v>
      </c>
      <c r="E31" t="s">
        <v>52</v>
      </c>
      <c r="F31" t="s">
        <v>37</v>
      </c>
      <c r="G31" t="s">
        <v>47</v>
      </c>
      <c r="H31">
        <v>21</v>
      </c>
      <c r="I31">
        <v>0</v>
      </c>
      <c r="J31">
        <v>0</v>
      </c>
      <c r="K31">
        <v>0</v>
      </c>
      <c r="L31" t="s">
        <v>24</v>
      </c>
      <c r="M31" t="s">
        <v>31</v>
      </c>
      <c r="N31" t="s">
        <v>267</v>
      </c>
      <c r="O31" t="s">
        <v>39</v>
      </c>
      <c r="P31">
        <v>12</v>
      </c>
      <c r="Q31">
        <v>8.52</v>
      </c>
    </row>
    <row r="32" spans="1:17" x14ac:dyDescent="0.25">
      <c r="A32" t="s">
        <v>159</v>
      </c>
      <c r="B32" s="1">
        <v>44956</v>
      </c>
      <c r="C32" t="s">
        <v>253</v>
      </c>
      <c r="D32">
        <v>2023</v>
      </c>
      <c r="E32" t="s">
        <v>61</v>
      </c>
      <c r="F32" t="s">
        <v>28</v>
      </c>
      <c r="G32" t="s">
        <v>29</v>
      </c>
      <c r="H32">
        <v>36</v>
      </c>
      <c r="I32">
        <v>0</v>
      </c>
      <c r="J32">
        <v>0</v>
      </c>
      <c r="K32">
        <v>0</v>
      </c>
      <c r="L32" t="s">
        <v>17</v>
      </c>
      <c r="M32" t="s">
        <v>25</v>
      </c>
      <c r="N32" t="s">
        <v>266</v>
      </c>
      <c r="O32" t="s">
        <v>19</v>
      </c>
      <c r="P32">
        <v>9.07</v>
      </c>
      <c r="Q32">
        <v>7.49</v>
      </c>
    </row>
    <row r="33" spans="1:17" x14ac:dyDescent="0.25">
      <c r="A33" t="s">
        <v>162</v>
      </c>
      <c r="B33" s="1">
        <v>45369</v>
      </c>
      <c r="C33" t="s">
        <v>256</v>
      </c>
      <c r="D33">
        <v>2024</v>
      </c>
      <c r="E33" t="s">
        <v>27</v>
      </c>
      <c r="F33" t="s">
        <v>28</v>
      </c>
      <c r="G33" t="s">
        <v>56</v>
      </c>
      <c r="H33">
        <v>38</v>
      </c>
      <c r="I33">
        <v>0</v>
      </c>
      <c r="J33">
        <v>0</v>
      </c>
      <c r="K33">
        <v>0</v>
      </c>
      <c r="L33" t="s">
        <v>24</v>
      </c>
      <c r="M33" t="s">
        <v>18</v>
      </c>
      <c r="N33" t="s">
        <v>267</v>
      </c>
      <c r="O33" t="s">
        <v>39</v>
      </c>
      <c r="P33">
        <v>7.73</v>
      </c>
      <c r="Q33">
        <v>8.5399999999999991</v>
      </c>
    </row>
    <row r="34" spans="1:17" x14ac:dyDescent="0.25">
      <c r="A34" t="s">
        <v>163</v>
      </c>
      <c r="B34" s="1">
        <v>45051</v>
      </c>
      <c r="C34" t="s">
        <v>259</v>
      </c>
      <c r="D34">
        <v>2023</v>
      </c>
      <c r="E34" t="s">
        <v>36</v>
      </c>
      <c r="F34" t="s">
        <v>37</v>
      </c>
      <c r="G34" t="s">
        <v>42</v>
      </c>
      <c r="H34">
        <v>33</v>
      </c>
      <c r="I34">
        <v>0</v>
      </c>
      <c r="J34">
        <v>0</v>
      </c>
      <c r="K34">
        <v>0</v>
      </c>
      <c r="L34" t="s">
        <v>30</v>
      </c>
      <c r="M34" t="s">
        <v>31</v>
      </c>
      <c r="N34" t="s">
        <v>265</v>
      </c>
      <c r="O34" t="s">
        <v>39</v>
      </c>
      <c r="P34">
        <v>10.52</v>
      </c>
      <c r="Q34">
        <v>7.44</v>
      </c>
    </row>
    <row r="35" spans="1:17" x14ac:dyDescent="0.25">
      <c r="A35" t="s">
        <v>164</v>
      </c>
      <c r="B35" s="1">
        <v>44957</v>
      </c>
      <c r="C35" t="s">
        <v>253</v>
      </c>
      <c r="D35">
        <v>2023</v>
      </c>
      <c r="E35" t="s">
        <v>36</v>
      </c>
      <c r="F35" t="s">
        <v>37</v>
      </c>
      <c r="G35" t="s">
        <v>56</v>
      </c>
      <c r="H35">
        <v>20</v>
      </c>
      <c r="I35">
        <v>0</v>
      </c>
      <c r="J35">
        <v>0</v>
      </c>
      <c r="K35">
        <v>0</v>
      </c>
      <c r="L35" t="s">
        <v>17</v>
      </c>
      <c r="M35" t="s">
        <v>31</v>
      </c>
      <c r="N35" t="s">
        <v>266</v>
      </c>
      <c r="O35" t="s">
        <v>39</v>
      </c>
      <c r="P35">
        <v>10.52</v>
      </c>
      <c r="Q35">
        <v>7.44</v>
      </c>
    </row>
    <row r="36" spans="1:17" x14ac:dyDescent="0.25">
      <c r="A36" t="s">
        <v>165</v>
      </c>
      <c r="B36" s="1">
        <v>45217</v>
      </c>
      <c r="C36" t="s">
        <v>251</v>
      </c>
      <c r="D36">
        <v>2023</v>
      </c>
      <c r="E36" t="s">
        <v>58</v>
      </c>
      <c r="F36" t="s">
        <v>50</v>
      </c>
      <c r="G36" t="s">
        <v>23</v>
      </c>
      <c r="H36">
        <v>32</v>
      </c>
      <c r="I36">
        <v>0</v>
      </c>
      <c r="J36">
        <v>0</v>
      </c>
      <c r="K36">
        <v>0</v>
      </c>
      <c r="L36" t="s">
        <v>69</v>
      </c>
      <c r="M36" t="s">
        <v>31</v>
      </c>
      <c r="N36" t="s">
        <v>265</v>
      </c>
      <c r="O36" t="s">
        <v>19</v>
      </c>
      <c r="P36">
        <v>6.9</v>
      </c>
      <c r="Q36">
        <v>3.3</v>
      </c>
    </row>
    <row r="37" spans="1:17" x14ac:dyDescent="0.25">
      <c r="A37" t="s">
        <v>168</v>
      </c>
      <c r="B37" s="1">
        <v>45045</v>
      </c>
      <c r="C37" t="s">
        <v>258</v>
      </c>
      <c r="D37">
        <v>2023</v>
      </c>
      <c r="E37" t="s">
        <v>14</v>
      </c>
      <c r="F37" t="s">
        <v>15</v>
      </c>
      <c r="G37" t="s">
        <v>47</v>
      </c>
      <c r="H37">
        <v>39</v>
      </c>
      <c r="I37">
        <v>0</v>
      </c>
      <c r="J37">
        <v>0</v>
      </c>
      <c r="K37">
        <v>0</v>
      </c>
      <c r="L37" t="s">
        <v>24</v>
      </c>
      <c r="M37" t="s">
        <v>31</v>
      </c>
      <c r="N37" t="s">
        <v>267</v>
      </c>
      <c r="O37" t="s">
        <v>39</v>
      </c>
      <c r="P37">
        <v>6.21</v>
      </c>
      <c r="Q37">
        <v>7.07</v>
      </c>
    </row>
    <row r="38" spans="1:17" x14ac:dyDescent="0.25">
      <c r="A38" t="s">
        <v>171</v>
      </c>
      <c r="B38" s="1">
        <v>45409</v>
      </c>
      <c r="C38" t="s">
        <v>258</v>
      </c>
      <c r="D38">
        <v>2024</v>
      </c>
      <c r="E38" t="s">
        <v>21</v>
      </c>
      <c r="F38" t="s">
        <v>22</v>
      </c>
      <c r="G38" t="s">
        <v>47</v>
      </c>
      <c r="H38">
        <v>36</v>
      </c>
      <c r="I38">
        <v>0</v>
      </c>
      <c r="J38">
        <v>0</v>
      </c>
      <c r="K38">
        <v>0</v>
      </c>
      <c r="L38" t="s">
        <v>24</v>
      </c>
      <c r="M38" t="s">
        <v>34</v>
      </c>
      <c r="N38" t="s">
        <v>267</v>
      </c>
      <c r="O38" t="s">
        <v>39</v>
      </c>
      <c r="P38">
        <v>5.7</v>
      </c>
      <c r="Q38">
        <v>5.9</v>
      </c>
    </row>
    <row r="39" spans="1:17" x14ac:dyDescent="0.25">
      <c r="A39" t="s">
        <v>174</v>
      </c>
      <c r="B39" s="1">
        <v>45349</v>
      </c>
      <c r="C39" t="s">
        <v>255</v>
      </c>
      <c r="D39">
        <v>2024</v>
      </c>
      <c r="E39" t="s">
        <v>33</v>
      </c>
      <c r="F39" t="s">
        <v>22</v>
      </c>
      <c r="G39" t="s">
        <v>56</v>
      </c>
      <c r="H39">
        <v>13</v>
      </c>
      <c r="I39">
        <v>0</v>
      </c>
      <c r="J39">
        <v>0</v>
      </c>
      <c r="K39">
        <v>0</v>
      </c>
      <c r="L39" t="s">
        <v>17</v>
      </c>
      <c r="M39" t="s">
        <v>18</v>
      </c>
      <c r="N39" t="s">
        <v>266</v>
      </c>
      <c r="O39" t="s">
        <v>39</v>
      </c>
      <c r="P39">
        <v>4.75</v>
      </c>
      <c r="Q39">
        <v>7.01</v>
      </c>
    </row>
    <row r="40" spans="1:17" x14ac:dyDescent="0.25">
      <c r="A40" t="s">
        <v>176</v>
      </c>
      <c r="B40" s="1">
        <v>45065</v>
      </c>
      <c r="C40" t="s">
        <v>259</v>
      </c>
      <c r="D40">
        <v>2023</v>
      </c>
      <c r="E40" t="s">
        <v>67</v>
      </c>
      <c r="F40" t="s">
        <v>50</v>
      </c>
      <c r="G40" t="s">
        <v>42</v>
      </c>
      <c r="H40">
        <v>13</v>
      </c>
      <c r="I40">
        <v>0</v>
      </c>
      <c r="J40">
        <v>0</v>
      </c>
      <c r="K40">
        <v>0</v>
      </c>
      <c r="L40" t="s">
        <v>17</v>
      </c>
      <c r="M40" t="s">
        <v>18</v>
      </c>
      <c r="N40" t="s">
        <v>266</v>
      </c>
      <c r="O40" t="s">
        <v>39</v>
      </c>
      <c r="P40">
        <v>6.52</v>
      </c>
      <c r="Q40">
        <v>3.37</v>
      </c>
    </row>
    <row r="41" spans="1:17" x14ac:dyDescent="0.25">
      <c r="A41" t="s">
        <v>177</v>
      </c>
      <c r="B41" s="1">
        <v>45427</v>
      </c>
      <c r="C41" t="s">
        <v>259</v>
      </c>
      <c r="D41">
        <v>2024</v>
      </c>
      <c r="E41" t="s">
        <v>61</v>
      </c>
      <c r="F41" t="s">
        <v>28</v>
      </c>
      <c r="G41" t="s">
        <v>29</v>
      </c>
      <c r="H41">
        <v>20</v>
      </c>
      <c r="I41">
        <v>0</v>
      </c>
      <c r="J41">
        <v>0</v>
      </c>
      <c r="K41">
        <v>0</v>
      </c>
      <c r="L41" t="s">
        <v>69</v>
      </c>
      <c r="M41" t="s">
        <v>31</v>
      </c>
      <c r="N41" t="s">
        <v>265</v>
      </c>
      <c r="O41" t="s">
        <v>39</v>
      </c>
      <c r="P41">
        <v>9.07</v>
      </c>
      <c r="Q41">
        <v>7.49</v>
      </c>
    </row>
    <row r="42" spans="1:17" x14ac:dyDescent="0.25">
      <c r="A42" t="s">
        <v>180</v>
      </c>
      <c r="B42" s="1">
        <v>45401</v>
      </c>
      <c r="C42" t="s">
        <v>258</v>
      </c>
      <c r="D42">
        <v>2024</v>
      </c>
      <c r="E42" t="s">
        <v>44</v>
      </c>
      <c r="F42" t="s">
        <v>37</v>
      </c>
      <c r="G42" t="s">
        <v>42</v>
      </c>
      <c r="H42">
        <v>22</v>
      </c>
      <c r="I42">
        <v>0</v>
      </c>
      <c r="J42">
        <v>0</v>
      </c>
      <c r="K42">
        <v>0</v>
      </c>
      <c r="L42" t="s">
        <v>69</v>
      </c>
      <c r="M42" t="s">
        <v>34</v>
      </c>
      <c r="N42" t="s">
        <v>265</v>
      </c>
      <c r="O42" t="s">
        <v>39</v>
      </c>
      <c r="P42">
        <v>12.99</v>
      </c>
      <c r="Q42">
        <v>7.6</v>
      </c>
    </row>
    <row r="43" spans="1:17" x14ac:dyDescent="0.25">
      <c r="A43" t="s">
        <v>183</v>
      </c>
      <c r="B43" s="1">
        <v>44974</v>
      </c>
      <c r="C43" t="s">
        <v>255</v>
      </c>
      <c r="D43">
        <v>2023</v>
      </c>
      <c r="E43" t="s">
        <v>65</v>
      </c>
      <c r="F43" t="s">
        <v>37</v>
      </c>
      <c r="G43" t="s">
        <v>56</v>
      </c>
      <c r="H43">
        <v>12</v>
      </c>
      <c r="I43">
        <v>0</v>
      </c>
      <c r="J43">
        <v>0</v>
      </c>
      <c r="K43">
        <v>0</v>
      </c>
      <c r="L43" t="s">
        <v>17</v>
      </c>
      <c r="M43" t="s">
        <v>25</v>
      </c>
      <c r="N43" t="s">
        <v>266</v>
      </c>
      <c r="O43" t="s">
        <v>19</v>
      </c>
      <c r="P43">
        <v>12.17</v>
      </c>
      <c r="Q43">
        <v>6.66</v>
      </c>
    </row>
    <row r="44" spans="1:17" x14ac:dyDescent="0.25">
      <c r="A44" t="s">
        <v>187</v>
      </c>
      <c r="B44" s="1">
        <v>44942</v>
      </c>
      <c r="C44" t="s">
        <v>253</v>
      </c>
      <c r="D44">
        <v>2023</v>
      </c>
      <c r="E44" t="s">
        <v>14</v>
      </c>
      <c r="F44" t="s">
        <v>15</v>
      </c>
      <c r="G44" t="s">
        <v>29</v>
      </c>
      <c r="H44">
        <v>39</v>
      </c>
      <c r="I44">
        <v>0</v>
      </c>
      <c r="J44">
        <v>0</v>
      </c>
      <c r="K44">
        <v>0</v>
      </c>
      <c r="L44" t="s">
        <v>17</v>
      </c>
      <c r="M44" t="s">
        <v>31</v>
      </c>
      <c r="N44" t="s">
        <v>266</v>
      </c>
      <c r="O44" t="s">
        <v>39</v>
      </c>
      <c r="P44">
        <v>6.21</v>
      </c>
      <c r="Q44">
        <v>7.07</v>
      </c>
    </row>
    <row r="45" spans="1:17" x14ac:dyDescent="0.25">
      <c r="A45" t="s">
        <v>188</v>
      </c>
      <c r="B45" s="1">
        <v>45126</v>
      </c>
      <c r="C45" t="s">
        <v>261</v>
      </c>
      <c r="D45">
        <v>2023</v>
      </c>
      <c r="E45" t="s">
        <v>44</v>
      </c>
      <c r="F45" t="s">
        <v>37</v>
      </c>
      <c r="G45" t="s">
        <v>23</v>
      </c>
      <c r="H45">
        <v>26</v>
      </c>
      <c r="I45">
        <v>0</v>
      </c>
      <c r="J45">
        <v>0</v>
      </c>
      <c r="K45">
        <v>0</v>
      </c>
      <c r="L45" t="s">
        <v>69</v>
      </c>
      <c r="M45" t="s">
        <v>25</v>
      </c>
      <c r="N45" t="s">
        <v>265</v>
      </c>
      <c r="O45" t="s">
        <v>39</v>
      </c>
      <c r="P45">
        <v>12.99</v>
      </c>
      <c r="Q45">
        <v>7.6</v>
      </c>
    </row>
    <row r="46" spans="1:17" x14ac:dyDescent="0.25">
      <c r="A46" t="s">
        <v>189</v>
      </c>
      <c r="B46" s="1">
        <v>45005</v>
      </c>
      <c r="C46" t="s">
        <v>256</v>
      </c>
      <c r="D46">
        <v>2023</v>
      </c>
      <c r="E46" t="s">
        <v>58</v>
      </c>
      <c r="F46" t="s">
        <v>50</v>
      </c>
      <c r="G46" t="s">
        <v>47</v>
      </c>
      <c r="H46">
        <v>24</v>
      </c>
      <c r="I46">
        <v>0</v>
      </c>
      <c r="J46">
        <v>0</v>
      </c>
      <c r="K46">
        <v>0</v>
      </c>
      <c r="L46" t="s">
        <v>24</v>
      </c>
      <c r="M46" t="s">
        <v>18</v>
      </c>
      <c r="N46" t="s">
        <v>267</v>
      </c>
      <c r="O46" t="s">
        <v>19</v>
      </c>
      <c r="P46">
        <v>6.9</v>
      </c>
      <c r="Q46">
        <v>3.3</v>
      </c>
    </row>
    <row r="47" spans="1:17" x14ac:dyDescent="0.25">
      <c r="A47" t="s">
        <v>190</v>
      </c>
      <c r="B47" s="1">
        <v>45196</v>
      </c>
      <c r="C47" t="s">
        <v>257</v>
      </c>
      <c r="D47">
        <v>2023</v>
      </c>
      <c r="E47" t="s">
        <v>54</v>
      </c>
      <c r="F47" t="s">
        <v>55</v>
      </c>
      <c r="G47" t="s">
        <v>56</v>
      </c>
      <c r="H47">
        <v>4</v>
      </c>
      <c r="I47">
        <v>0</v>
      </c>
      <c r="J47">
        <v>0</v>
      </c>
      <c r="K47">
        <v>0</v>
      </c>
      <c r="L47" t="s">
        <v>69</v>
      </c>
      <c r="M47" t="s">
        <v>34</v>
      </c>
      <c r="N47" t="s">
        <v>265</v>
      </c>
      <c r="O47" t="s">
        <v>19</v>
      </c>
      <c r="P47">
        <v>11.83</v>
      </c>
      <c r="Q47">
        <v>13.15</v>
      </c>
    </row>
    <row r="48" spans="1:17" x14ac:dyDescent="0.25">
      <c r="A48" t="s">
        <v>193</v>
      </c>
      <c r="B48" s="1">
        <v>45010</v>
      </c>
      <c r="C48" t="s">
        <v>256</v>
      </c>
      <c r="D48">
        <v>2023</v>
      </c>
      <c r="E48" t="s">
        <v>14</v>
      </c>
      <c r="F48" t="s">
        <v>15</v>
      </c>
      <c r="G48" t="s">
        <v>42</v>
      </c>
      <c r="H48">
        <v>25</v>
      </c>
      <c r="I48">
        <v>0</v>
      </c>
      <c r="J48">
        <v>0</v>
      </c>
      <c r="K48">
        <v>0</v>
      </c>
      <c r="L48" t="s">
        <v>17</v>
      </c>
      <c r="M48" t="s">
        <v>25</v>
      </c>
      <c r="N48" t="s">
        <v>266</v>
      </c>
      <c r="O48" t="s">
        <v>19</v>
      </c>
      <c r="P48">
        <v>6.21</v>
      </c>
      <c r="Q48">
        <v>7.07</v>
      </c>
    </row>
    <row r="49" spans="1:17" x14ac:dyDescent="0.25">
      <c r="A49" t="s">
        <v>194</v>
      </c>
      <c r="B49" s="1">
        <v>45314</v>
      </c>
      <c r="C49" t="s">
        <v>253</v>
      </c>
      <c r="D49">
        <v>2024</v>
      </c>
      <c r="E49" t="s">
        <v>61</v>
      </c>
      <c r="F49" t="s">
        <v>28</v>
      </c>
      <c r="G49" t="s">
        <v>29</v>
      </c>
      <c r="H49">
        <v>39</v>
      </c>
      <c r="I49">
        <v>0</v>
      </c>
      <c r="J49">
        <v>0</v>
      </c>
      <c r="K49">
        <v>0</v>
      </c>
      <c r="L49" t="s">
        <v>30</v>
      </c>
      <c r="M49" t="s">
        <v>31</v>
      </c>
      <c r="N49" t="s">
        <v>265</v>
      </c>
      <c r="O49" t="s">
        <v>39</v>
      </c>
      <c r="P49">
        <v>9.07</v>
      </c>
      <c r="Q49">
        <v>7.49</v>
      </c>
    </row>
    <row r="50" spans="1:17" x14ac:dyDescent="0.25">
      <c r="A50" t="s">
        <v>195</v>
      </c>
      <c r="B50" s="1">
        <v>44927</v>
      </c>
      <c r="C50" t="s">
        <v>253</v>
      </c>
      <c r="D50">
        <v>2023</v>
      </c>
      <c r="E50" t="s">
        <v>52</v>
      </c>
      <c r="F50" t="s">
        <v>37</v>
      </c>
      <c r="G50" t="s">
        <v>23</v>
      </c>
      <c r="H50">
        <v>30</v>
      </c>
      <c r="I50">
        <v>0</v>
      </c>
      <c r="J50">
        <v>0</v>
      </c>
      <c r="K50">
        <v>0</v>
      </c>
      <c r="L50" t="s">
        <v>24</v>
      </c>
      <c r="M50" t="s">
        <v>25</v>
      </c>
      <c r="N50" t="s">
        <v>267</v>
      </c>
      <c r="O50" t="s">
        <v>39</v>
      </c>
      <c r="P50">
        <v>12</v>
      </c>
      <c r="Q50">
        <v>8.52</v>
      </c>
    </row>
    <row r="51" spans="1:17" x14ac:dyDescent="0.25">
      <c r="A51" t="s">
        <v>196</v>
      </c>
      <c r="B51" s="1">
        <v>44975</v>
      </c>
      <c r="C51" t="s">
        <v>255</v>
      </c>
      <c r="D51">
        <v>2023</v>
      </c>
      <c r="E51" t="s">
        <v>58</v>
      </c>
      <c r="F51" t="s">
        <v>50</v>
      </c>
      <c r="G51" t="s">
        <v>47</v>
      </c>
      <c r="H51">
        <v>18</v>
      </c>
      <c r="I51">
        <v>0</v>
      </c>
      <c r="J51">
        <v>0</v>
      </c>
      <c r="K51">
        <v>0</v>
      </c>
      <c r="L51" t="s">
        <v>17</v>
      </c>
      <c r="M51" t="s">
        <v>25</v>
      </c>
      <c r="N51" t="s">
        <v>266</v>
      </c>
      <c r="O51" t="s">
        <v>39</v>
      </c>
      <c r="P51">
        <v>6.9</v>
      </c>
      <c r="Q51">
        <v>3.3</v>
      </c>
    </row>
    <row r="52" spans="1:17" x14ac:dyDescent="0.25">
      <c r="A52" t="s">
        <v>197</v>
      </c>
      <c r="B52" s="1">
        <v>45077</v>
      </c>
      <c r="C52" t="s">
        <v>259</v>
      </c>
      <c r="D52">
        <v>2023</v>
      </c>
      <c r="E52" t="s">
        <v>44</v>
      </c>
      <c r="F52" t="s">
        <v>37</v>
      </c>
      <c r="G52" t="s">
        <v>47</v>
      </c>
      <c r="H52">
        <v>9</v>
      </c>
      <c r="I52">
        <v>0</v>
      </c>
      <c r="J52">
        <v>0</v>
      </c>
      <c r="K52">
        <v>0</v>
      </c>
      <c r="L52" t="s">
        <v>69</v>
      </c>
      <c r="M52" t="s">
        <v>34</v>
      </c>
      <c r="N52" t="s">
        <v>265</v>
      </c>
      <c r="O52" t="s">
        <v>19</v>
      </c>
      <c r="P52">
        <v>12.99</v>
      </c>
      <c r="Q52">
        <v>7.6</v>
      </c>
    </row>
    <row r="53" spans="1:17" x14ac:dyDescent="0.25">
      <c r="A53" t="s">
        <v>199</v>
      </c>
      <c r="B53" s="1">
        <v>45216</v>
      </c>
      <c r="C53" t="s">
        <v>251</v>
      </c>
      <c r="D53">
        <v>2023</v>
      </c>
      <c r="E53" t="s">
        <v>65</v>
      </c>
      <c r="F53" t="s">
        <v>37</v>
      </c>
      <c r="G53" t="s">
        <v>29</v>
      </c>
      <c r="H53">
        <v>13</v>
      </c>
      <c r="I53">
        <v>0</v>
      </c>
      <c r="J53">
        <v>0</v>
      </c>
      <c r="K53">
        <v>0</v>
      </c>
      <c r="L53" t="s">
        <v>30</v>
      </c>
      <c r="M53" t="s">
        <v>31</v>
      </c>
      <c r="N53" t="s">
        <v>265</v>
      </c>
      <c r="O53" t="s">
        <v>19</v>
      </c>
      <c r="P53">
        <v>12.17</v>
      </c>
      <c r="Q53">
        <v>6.66</v>
      </c>
    </row>
    <row r="54" spans="1:17" x14ac:dyDescent="0.25">
      <c r="A54" t="s">
        <v>203</v>
      </c>
      <c r="B54" s="1">
        <v>44944</v>
      </c>
      <c r="C54" t="s">
        <v>253</v>
      </c>
      <c r="D54">
        <v>2023</v>
      </c>
      <c r="E54" t="s">
        <v>33</v>
      </c>
      <c r="F54" t="s">
        <v>22</v>
      </c>
      <c r="G54" t="s">
        <v>47</v>
      </c>
      <c r="H54">
        <v>25</v>
      </c>
      <c r="I54">
        <v>0</v>
      </c>
      <c r="J54">
        <v>0</v>
      </c>
      <c r="K54">
        <v>0</v>
      </c>
      <c r="L54" t="s">
        <v>69</v>
      </c>
      <c r="M54" t="s">
        <v>25</v>
      </c>
      <c r="N54" t="s">
        <v>265</v>
      </c>
      <c r="O54" t="s">
        <v>39</v>
      </c>
      <c r="P54">
        <v>4.75</v>
      </c>
      <c r="Q54">
        <v>7.01</v>
      </c>
    </row>
    <row r="55" spans="1:17" x14ac:dyDescent="0.25">
      <c r="A55" t="s">
        <v>208</v>
      </c>
      <c r="B55" s="1">
        <v>45057</v>
      </c>
      <c r="C55" t="s">
        <v>259</v>
      </c>
      <c r="D55">
        <v>2023</v>
      </c>
      <c r="E55" t="s">
        <v>36</v>
      </c>
      <c r="F55" t="s">
        <v>37</v>
      </c>
      <c r="G55" t="s">
        <v>56</v>
      </c>
      <c r="H55">
        <v>19</v>
      </c>
      <c r="I55">
        <v>0</v>
      </c>
      <c r="J55">
        <v>0</v>
      </c>
      <c r="K55">
        <v>0</v>
      </c>
      <c r="L55" t="s">
        <v>17</v>
      </c>
      <c r="M55" t="s">
        <v>25</v>
      </c>
      <c r="N55" t="s">
        <v>266</v>
      </c>
      <c r="O55" t="s">
        <v>39</v>
      </c>
      <c r="P55">
        <v>10.52</v>
      </c>
      <c r="Q55">
        <v>7.44</v>
      </c>
    </row>
    <row r="56" spans="1:17" x14ac:dyDescent="0.25">
      <c r="A56" t="s">
        <v>216</v>
      </c>
      <c r="B56" s="1">
        <v>44986</v>
      </c>
      <c r="C56" t="s">
        <v>256</v>
      </c>
      <c r="D56">
        <v>2023</v>
      </c>
      <c r="E56" t="s">
        <v>36</v>
      </c>
      <c r="F56" t="s">
        <v>37</v>
      </c>
      <c r="G56" t="s">
        <v>38</v>
      </c>
      <c r="H56">
        <v>21</v>
      </c>
      <c r="I56">
        <v>0</v>
      </c>
      <c r="J56">
        <v>0</v>
      </c>
      <c r="K56">
        <v>0</v>
      </c>
      <c r="L56" t="s">
        <v>69</v>
      </c>
      <c r="M56" t="s">
        <v>34</v>
      </c>
      <c r="N56" t="s">
        <v>265</v>
      </c>
      <c r="O56" t="s">
        <v>19</v>
      </c>
      <c r="P56">
        <v>10.52</v>
      </c>
      <c r="Q56">
        <v>7.44</v>
      </c>
    </row>
    <row r="57" spans="1:17" x14ac:dyDescent="0.25">
      <c r="A57" t="s">
        <v>217</v>
      </c>
      <c r="B57" s="1">
        <v>44935</v>
      </c>
      <c r="C57" t="s">
        <v>253</v>
      </c>
      <c r="D57">
        <v>2023</v>
      </c>
      <c r="E57" t="s">
        <v>52</v>
      </c>
      <c r="F57" t="s">
        <v>37</v>
      </c>
      <c r="G57" t="s">
        <v>56</v>
      </c>
      <c r="H57">
        <v>8</v>
      </c>
      <c r="I57">
        <v>0</v>
      </c>
      <c r="J57">
        <v>0</v>
      </c>
      <c r="K57">
        <v>0</v>
      </c>
      <c r="L57" t="s">
        <v>24</v>
      </c>
      <c r="M57" t="s">
        <v>31</v>
      </c>
      <c r="N57" t="s">
        <v>267</v>
      </c>
      <c r="O57" t="s">
        <v>19</v>
      </c>
      <c r="P57">
        <v>12</v>
      </c>
      <c r="Q57">
        <v>8.52</v>
      </c>
    </row>
    <row r="58" spans="1:17" x14ac:dyDescent="0.25">
      <c r="A58" t="s">
        <v>218</v>
      </c>
      <c r="B58" s="1">
        <v>45414</v>
      </c>
      <c r="C58" t="s">
        <v>259</v>
      </c>
      <c r="D58">
        <v>2024</v>
      </c>
      <c r="E58" t="s">
        <v>49</v>
      </c>
      <c r="F58" t="s">
        <v>50</v>
      </c>
      <c r="G58" t="s">
        <v>47</v>
      </c>
      <c r="H58">
        <v>8</v>
      </c>
      <c r="I58">
        <v>0</v>
      </c>
      <c r="J58">
        <v>0</v>
      </c>
      <c r="K58">
        <v>0</v>
      </c>
      <c r="L58" t="s">
        <v>30</v>
      </c>
      <c r="M58" t="s">
        <v>31</v>
      </c>
      <c r="N58" t="s">
        <v>265</v>
      </c>
      <c r="O58" t="s">
        <v>19</v>
      </c>
      <c r="P58">
        <v>7.38</v>
      </c>
      <c r="Q58">
        <v>3.93</v>
      </c>
    </row>
    <row r="59" spans="1:17" x14ac:dyDescent="0.25">
      <c r="A59" t="s">
        <v>219</v>
      </c>
      <c r="B59" s="1">
        <v>45273</v>
      </c>
      <c r="C59" t="s">
        <v>262</v>
      </c>
      <c r="D59">
        <v>2023</v>
      </c>
      <c r="E59" t="s">
        <v>44</v>
      </c>
      <c r="F59" t="s">
        <v>37</v>
      </c>
      <c r="G59" t="s">
        <v>29</v>
      </c>
      <c r="H59">
        <v>39</v>
      </c>
      <c r="I59">
        <v>0</v>
      </c>
      <c r="J59">
        <v>0</v>
      </c>
      <c r="K59">
        <v>0</v>
      </c>
      <c r="L59" t="s">
        <v>24</v>
      </c>
      <c r="M59" t="s">
        <v>18</v>
      </c>
      <c r="N59" t="s">
        <v>267</v>
      </c>
      <c r="O59" t="s">
        <v>19</v>
      </c>
      <c r="P59">
        <v>12.99</v>
      </c>
      <c r="Q59">
        <v>7.6</v>
      </c>
    </row>
    <row r="60" spans="1:17" x14ac:dyDescent="0.25">
      <c r="A60" t="s">
        <v>222</v>
      </c>
      <c r="B60" s="1">
        <v>45255</v>
      </c>
      <c r="C60" t="s">
        <v>260</v>
      </c>
      <c r="D60">
        <v>2023</v>
      </c>
      <c r="E60" t="s">
        <v>61</v>
      </c>
      <c r="F60" t="s">
        <v>28</v>
      </c>
      <c r="G60" t="s">
        <v>38</v>
      </c>
      <c r="H60">
        <v>22</v>
      </c>
      <c r="I60">
        <v>0</v>
      </c>
      <c r="J60">
        <v>0</v>
      </c>
      <c r="K60">
        <v>0</v>
      </c>
      <c r="L60" t="s">
        <v>24</v>
      </c>
      <c r="M60" t="s">
        <v>18</v>
      </c>
      <c r="N60" t="s">
        <v>267</v>
      </c>
      <c r="O60" t="s">
        <v>19</v>
      </c>
      <c r="P60">
        <v>9.07</v>
      </c>
      <c r="Q60">
        <v>7.49</v>
      </c>
    </row>
    <row r="61" spans="1:17" x14ac:dyDescent="0.25">
      <c r="A61" t="s">
        <v>225</v>
      </c>
      <c r="B61" s="1">
        <v>45136</v>
      </c>
      <c r="C61" t="s">
        <v>261</v>
      </c>
      <c r="D61">
        <v>2023</v>
      </c>
      <c r="E61" t="s">
        <v>14</v>
      </c>
      <c r="F61" t="s">
        <v>15</v>
      </c>
      <c r="G61" t="s">
        <v>47</v>
      </c>
      <c r="H61">
        <v>16</v>
      </c>
      <c r="I61">
        <v>0</v>
      </c>
      <c r="J61">
        <v>0</v>
      </c>
      <c r="K61">
        <v>0</v>
      </c>
      <c r="L61" t="s">
        <v>17</v>
      </c>
      <c r="M61" t="s">
        <v>18</v>
      </c>
      <c r="N61" t="s">
        <v>266</v>
      </c>
      <c r="O61" t="s">
        <v>19</v>
      </c>
      <c r="P61">
        <v>6.21</v>
      </c>
      <c r="Q61">
        <v>7.07</v>
      </c>
    </row>
    <row r="62" spans="1:17" x14ac:dyDescent="0.25">
      <c r="A62" t="s">
        <v>227</v>
      </c>
      <c r="B62" s="1">
        <v>45266</v>
      </c>
      <c r="C62" t="s">
        <v>262</v>
      </c>
      <c r="D62">
        <v>2023</v>
      </c>
      <c r="E62" t="s">
        <v>65</v>
      </c>
      <c r="F62" t="s">
        <v>37</v>
      </c>
      <c r="G62" t="s">
        <v>23</v>
      </c>
      <c r="H62">
        <v>9</v>
      </c>
      <c r="I62">
        <v>0</v>
      </c>
      <c r="J62">
        <v>0</v>
      </c>
      <c r="K62">
        <v>0</v>
      </c>
      <c r="L62" t="s">
        <v>69</v>
      </c>
      <c r="M62" t="s">
        <v>34</v>
      </c>
      <c r="N62" t="s">
        <v>265</v>
      </c>
      <c r="O62" t="s">
        <v>39</v>
      </c>
      <c r="P62">
        <v>12.17</v>
      </c>
      <c r="Q62">
        <v>6.66</v>
      </c>
    </row>
    <row r="63" spans="1:17" x14ac:dyDescent="0.25">
      <c r="A63" t="s">
        <v>231</v>
      </c>
      <c r="B63" s="1">
        <v>44997</v>
      </c>
      <c r="C63" t="s">
        <v>256</v>
      </c>
      <c r="D63">
        <v>2023</v>
      </c>
      <c r="E63" t="s">
        <v>33</v>
      </c>
      <c r="F63" t="s">
        <v>22</v>
      </c>
      <c r="G63" t="s">
        <v>56</v>
      </c>
      <c r="H63">
        <v>27</v>
      </c>
      <c r="I63">
        <v>0</v>
      </c>
      <c r="J63">
        <v>0</v>
      </c>
      <c r="K63">
        <v>0</v>
      </c>
      <c r="L63" t="s">
        <v>17</v>
      </c>
      <c r="M63" t="s">
        <v>18</v>
      </c>
      <c r="N63" t="s">
        <v>266</v>
      </c>
      <c r="O63" t="s">
        <v>19</v>
      </c>
      <c r="P63">
        <v>4.75</v>
      </c>
      <c r="Q63">
        <v>7.01</v>
      </c>
    </row>
    <row r="64" spans="1:17" x14ac:dyDescent="0.25">
      <c r="A64" t="s">
        <v>232</v>
      </c>
      <c r="B64" s="1">
        <v>45164</v>
      </c>
      <c r="C64" t="s">
        <v>254</v>
      </c>
      <c r="D64">
        <v>2023</v>
      </c>
      <c r="E64" t="s">
        <v>52</v>
      </c>
      <c r="F64" t="s">
        <v>37</v>
      </c>
      <c r="G64" t="s">
        <v>56</v>
      </c>
      <c r="H64">
        <v>29</v>
      </c>
      <c r="I64">
        <v>0</v>
      </c>
      <c r="J64">
        <v>0</v>
      </c>
      <c r="K64">
        <v>0</v>
      </c>
      <c r="L64" t="s">
        <v>24</v>
      </c>
      <c r="M64" t="s">
        <v>25</v>
      </c>
      <c r="N64" t="s">
        <v>267</v>
      </c>
      <c r="O64" t="s">
        <v>19</v>
      </c>
      <c r="P64">
        <v>12</v>
      </c>
      <c r="Q64">
        <v>8.52</v>
      </c>
    </row>
    <row r="65" spans="1:17" x14ac:dyDescent="0.25">
      <c r="A65" t="s">
        <v>239</v>
      </c>
      <c r="B65" s="1">
        <v>45033</v>
      </c>
      <c r="C65" t="s">
        <v>258</v>
      </c>
      <c r="D65">
        <v>2023</v>
      </c>
      <c r="E65" t="s">
        <v>61</v>
      </c>
      <c r="F65" t="s">
        <v>28</v>
      </c>
      <c r="G65" t="s">
        <v>16</v>
      </c>
      <c r="H65">
        <v>12</v>
      </c>
      <c r="I65">
        <v>0</v>
      </c>
      <c r="J65">
        <v>0</v>
      </c>
      <c r="K65">
        <v>0</v>
      </c>
      <c r="L65" t="s">
        <v>30</v>
      </c>
      <c r="M65" t="s">
        <v>31</v>
      </c>
      <c r="N65" t="s">
        <v>265</v>
      </c>
      <c r="O65" t="s">
        <v>19</v>
      </c>
      <c r="P65">
        <v>9.07</v>
      </c>
      <c r="Q65">
        <v>7.49</v>
      </c>
    </row>
    <row r="66" spans="1:17" x14ac:dyDescent="0.25">
      <c r="A66" t="s">
        <v>242</v>
      </c>
      <c r="B66" s="1">
        <v>45164</v>
      </c>
      <c r="C66" t="s">
        <v>254</v>
      </c>
      <c r="D66">
        <v>2023</v>
      </c>
      <c r="E66" t="s">
        <v>65</v>
      </c>
      <c r="F66" t="s">
        <v>37</v>
      </c>
      <c r="G66" t="s">
        <v>42</v>
      </c>
      <c r="H66">
        <v>20</v>
      </c>
      <c r="I66">
        <v>0</v>
      </c>
      <c r="J66">
        <v>0</v>
      </c>
      <c r="K66">
        <v>0</v>
      </c>
      <c r="L66" t="s">
        <v>24</v>
      </c>
      <c r="M66" t="s">
        <v>31</v>
      </c>
      <c r="N66" t="s">
        <v>267</v>
      </c>
      <c r="O66" t="s">
        <v>39</v>
      </c>
      <c r="P66">
        <v>12.17</v>
      </c>
      <c r="Q66">
        <v>6.66</v>
      </c>
    </row>
    <row r="67" spans="1:17" x14ac:dyDescent="0.25">
      <c r="A67" t="s">
        <v>243</v>
      </c>
      <c r="B67" s="1">
        <v>45172</v>
      </c>
      <c r="C67" t="s">
        <v>257</v>
      </c>
      <c r="D67">
        <v>2023</v>
      </c>
      <c r="E67" t="s">
        <v>61</v>
      </c>
      <c r="F67" t="s">
        <v>28</v>
      </c>
      <c r="G67" t="s">
        <v>16</v>
      </c>
      <c r="H67">
        <v>26</v>
      </c>
      <c r="I67">
        <v>0</v>
      </c>
      <c r="J67">
        <v>0</v>
      </c>
      <c r="K67">
        <v>0</v>
      </c>
      <c r="L67" t="s">
        <v>17</v>
      </c>
      <c r="M67" t="s">
        <v>18</v>
      </c>
      <c r="N67" t="s">
        <v>266</v>
      </c>
      <c r="O67" t="s">
        <v>19</v>
      </c>
      <c r="P67">
        <v>9.07</v>
      </c>
      <c r="Q67">
        <v>7.49</v>
      </c>
    </row>
    <row r="68" spans="1:17" x14ac:dyDescent="0.25">
      <c r="A68" t="s">
        <v>244</v>
      </c>
      <c r="B68" s="1">
        <v>45321</v>
      </c>
      <c r="C68" t="s">
        <v>253</v>
      </c>
      <c r="D68">
        <v>2024</v>
      </c>
      <c r="E68" t="s">
        <v>65</v>
      </c>
      <c r="F68" t="s">
        <v>37</v>
      </c>
      <c r="G68" t="s">
        <v>47</v>
      </c>
      <c r="H68">
        <v>6</v>
      </c>
      <c r="I68">
        <v>0</v>
      </c>
      <c r="J68">
        <v>0</v>
      </c>
      <c r="K68">
        <v>0</v>
      </c>
      <c r="L68" t="s">
        <v>30</v>
      </c>
      <c r="M68" t="s">
        <v>18</v>
      </c>
      <c r="N68" t="s">
        <v>265</v>
      </c>
      <c r="O68" t="s">
        <v>19</v>
      </c>
      <c r="P68">
        <v>12.17</v>
      </c>
      <c r="Q68">
        <v>6.66</v>
      </c>
    </row>
    <row r="69" spans="1:17" x14ac:dyDescent="0.25">
      <c r="A69" t="s">
        <v>245</v>
      </c>
      <c r="B69" s="1">
        <v>45131</v>
      </c>
      <c r="C69" t="s">
        <v>261</v>
      </c>
      <c r="D69">
        <v>2023</v>
      </c>
      <c r="E69" t="s">
        <v>65</v>
      </c>
      <c r="F69" t="s">
        <v>37</v>
      </c>
      <c r="G69" t="s">
        <v>47</v>
      </c>
      <c r="H69">
        <v>27</v>
      </c>
      <c r="I69">
        <v>0</v>
      </c>
      <c r="J69">
        <v>0</v>
      </c>
      <c r="K69">
        <v>0</v>
      </c>
      <c r="L69" t="s">
        <v>30</v>
      </c>
      <c r="M69" t="s">
        <v>25</v>
      </c>
      <c r="N69" t="s">
        <v>265</v>
      </c>
      <c r="O69" t="s">
        <v>39</v>
      </c>
      <c r="P69">
        <v>12.17</v>
      </c>
      <c r="Q69">
        <v>6.66</v>
      </c>
    </row>
    <row r="70" spans="1:17" x14ac:dyDescent="0.25">
      <c r="A70" t="s">
        <v>246</v>
      </c>
      <c r="B70" s="1">
        <v>45323</v>
      </c>
      <c r="C70" t="s">
        <v>255</v>
      </c>
      <c r="D70">
        <v>2024</v>
      </c>
      <c r="E70" t="s">
        <v>44</v>
      </c>
      <c r="F70" t="s">
        <v>37</v>
      </c>
      <c r="G70" t="s">
        <v>29</v>
      </c>
      <c r="H70">
        <v>5</v>
      </c>
      <c r="I70">
        <v>0</v>
      </c>
      <c r="J70">
        <v>0</v>
      </c>
      <c r="K70">
        <v>0</v>
      </c>
      <c r="L70" t="s">
        <v>30</v>
      </c>
      <c r="M70" t="s">
        <v>34</v>
      </c>
      <c r="N70" t="s">
        <v>265</v>
      </c>
      <c r="O70" t="s">
        <v>39</v>
      </c>
      <c r="P70">
        <v>12.99</v>
      </c>
      <c r="Q70">
        <v>7.6</v>
      </c>
    </row>
    <row r="71" spans="1:17" x14ac:dyDescent="0.25">
      <c r="A71" t="s">
        <v>248</v>
      </c>
      <c r="B71" s="1">
        <v>45015</v>
      </c>
      <c r="C71" t="s">
        <v>256</v>
      </c>
      <c r="D71">
        <v>2023</v>
      </c>
      <c r="E71" t="s">
        <v>61</v>
      </c>
      <c r="F71" t="s">
        <v>28</v>
      </c>
      <c r="G71" t="s">
        <v>23</v>
      </c>
      <c r="H71">
        <v>32</v>
      </c>
      <c r="I71">
        <v>0</v>
      </c>
      <c r="J71">
        <v>0</v>
      </c>
      <c r="K71">
        <v>0</v>
      </c>
      <c r="L71" t="s">
        <v>17</v>
      </c>
      <c r="M71" t="s">
        <v>25</v>
      </c>
      <c r="N71" t="s">
        <v>266</v>
      </c>
      <c r="O71" t="s">
        <v>19</v>
      </c>
      <c r="P71">
        <v>9.07</v>
      </c>
      <c r="Q71">
        <v>7.49</v>
      </c>
    </row>
    <row r="72" spans="1:17" x14ac:dyDescent="0.25">
      <c r="A72" t="s">
        <v>13</v>
      </c>
      <c r="B72" s="1">
        <v>45228</v>
      </c>
      <c r="C72" t="s">
        <v>251</v>
      </c>
      <c r="D72">
        <v>2023</v>
      </c>
      <c r="E72" t="s">
        <v>14</v>
      </c>
      <c r="F72" t="s">
        <v>15</v>
      </c>
      <c r="G72" t="s">
        <v>16</v>
      </c>
      <c r="H72">
        <v>35</v>
      </c>
      <c r="I72">
        <v>72497088</v>
      </c>
      <c r="J72">
        <v>0</v>
      </c>
      <c r="K72">
        <v>72497088</v>
      </c>
      <c r="L72" t="s">
        <v>17</v>
      </c>
      <c r="M72" t="s">
        <v>18</v>
      </c>
      <c r="N72" t="s">
        <v>266</v>
      </c>
      <c r="O72" t="s">
        <v>19</v>
      </c>
      <c r="P72">
        <v>6.21</v>
      </c>
      <c r="Q72">
        <v>7.07</v>
      </c>
    </row>
    <row r="73" spans="1:17" x14ac:dyDescent="0.25">
      <c r="A73" t="s">
        <v>20</v>
      </c>
      <c r="B73" s="1">
        <v>45091</v>
      </c>
      <c r="C73" t="s">
        <v>252</v>
      </c>
      <c r="D73">
        <v>2023</v>
      </c>
      <c r="E73" t="s">
        <v>21</v>
      </c>
      <c r="F73" t="s">
        <v>22</v>
      </c>
      <c r="G73" t="s">
        <v>23</v>
      </c>
      <c r="H73">
        <v>33</v>
      </c>
      <c r="I73">
        <v>77888592</v>
      </c>
      <c r="J73">
        <v>0</v>
      </c>
      <c r="K73">
        <v>77888592</v>
      </c>
      <c r="L73" t="s">
        <v>24</v>
      </c>
      <c r="M73" t="s">
        <v>25</v>
      </c>
      <c r="N73" t="s">
        <v>267</v>
      </c>
      <c r="O73" t="s">
        <v>19</v>
      </c>
      <c r="P73">
        <v>5.7</v>
      </c>
      <c r="Q73">
        <v>5.9</v>
      </c>
    </row>
    <row r="74" spans="1:17" x14ac:dyDescent="0.25">
      <c r="A74" t="s">
        <v>40</v>
      </c>
      <c r="B74" s="1">
        <v>45012</v>
      </c>
      <c r="C74" t="s">
        <v>256</v>
      </c>
      <c r="D74">
        <v>2023</v>
      </c>
      <c r="E74" t="s">
        <v>33</v>
      </c>
      <c r="F74" t="s">
        <v>22</v>
      </c>
      <c r="G74" t="s">
        <v>23</v>
      </c>
      <c r="H74">
        <v>32</v>
      </c>
      <c r="I74">
        <v>75745312</v>
      </c>
      <c r="J74">
        <v>0</v>
      </c>
      <c r="K74">
        <v>75745312</v>
      </c>
      <c r="L74" t="s">
        <v>24</v>
      </c>
      <c r="M74" t="s">
        <v>31</v>
      </c>
      <c r="N74" t="s">
        <v>267</v>
      </c>
      <c r="O74" t="s">
        <v>39</v>
      </c>
      <c r="P74">
        <v>4.75</v>
      </c>
      <c r="Q74">
        <v>7.01</v>
      </c>
    </row>
    <row r="75" spans="1:17" x14ac:dyDescent="0.25">
      <c r="A75" t="s">
        <v>53</v>
      </c>
      <c r="B75" s="1">
        <v>45320</v>
      </c>
      <c r="C75" t="s">
        <v>253</v>
      </c>
      <c r="D75">
        <v>2024</v>
      </c>
      <c r="E75" t="s">
        <v>54</v>
      </c>
      <c r="F75" t="s">
        <v>55</v>
      </c>
      <c r="G75" t="s">
        <v>56</v>
      </c>
      <c r="H75">
        <v>5</v>
      </c>
      <c r="I75">
        <v>50380697</v>
      </c>
      <c r="J75">
        <v>0</v>
      </c>
      <c r="K75">
        <v>50380697</v>
      </c>
      <c r="L75" t="s">
        <v>24</v>
      </c>
      <c r="M75" t="s">
        <v>25</v>
      </c>
      <c r="N75" t="s">
        <v>267</v>
      </c>
      <c r="O75" t="s">
        <v>19</v>
      </c>
      <c r="P75">
        <v>11.83</v>
      </c>
      <c r="Q75">
        <v>13.15</v>
      </c>
    </row>
    <row r="76" spans="1:17" x14ac:dyDescent="0.25">
      <c r="A76" t="s">
        <v>57</v>
      </c>
      <c r="B76" s="1">
        <v>45253</v>
      </c>
      <c r="C76" t="s">
        <v>260</v>
      </c>
      <c r="D76">
        <v>2023</v>
      </c>
      <c r="E76" t="s">
        <v>58</v>
      </c>
      <c r="F76" t="s">
        <v>50</v>
      </c>
      <c r="G76" t="s">
        <v>29</v>
      </c>
      <c r="H76">
        <v>33</v>
      </c>
      <c r="I76">
        <v>92733780</v>
      </c>
      <c r="J76">
        <v>0</v>
      </c>
      <c r="K76">
        <v>92733780</v>
      </c>
      <c r="L76" t="s">
        <v>17</v>
      </c>
      <c r="M76" t="s">
        <v>25</v>
      </c>
      <c r="N76" t="s">
        <v>266</v>
      </c>
      <c r="O76" t="s">
        <v>19</v>
      </c>
      <c r="P76">
        <v>6.9</v>
      </c>
      <c r="Q76">
        <v>3.3</v>
      </c>
    </row>
    <row r="77" spans="1:17" x14ac:dyDescent="0.25">
      <c r="A77" t="s">
        <v>60</v>
      </c>
      <c r="B77" s="1">
        <v>45106</v>
      </c>
      <c r="C77" t="s">
        <v>252</v>
      </c>
      <c r="D77">
        <v>2023</v>
      </c>
      <c r="E77" t="s">
        <v>61</v>
      </c>
      <c r="F77" t="s">
        <v>28</v>
      </c>
      <c r="G77" t="s">
        <v>47</v>
      </c>
      <c r="H77">
        <v>31</v>
      </c>
      <c r="I77">
        <v>21837137</v>
      </c>
      <c r="J77">
        <v>0</v>
      </c>
      <c r="K77">
        <v>21837137</v>
      </c>
      <c r="L77" t="s">
        <v>17</v>
      </c>
      <c r="M77" t="s">
        <v>31</v>
      </c>
      <c r="N77" t="s">
        <v>266</v>
      </c>
      <c r="O77" t="s">
        <v>39</v>
      </c>
      <c r="P77">
        <v>9.07</v>
      </c>
      <c r="Q77">
        <v>7.49</v>
      </c>
    </row>
    <row r="78" spans="1:17" x14ac:dyDescent="0.25">
      <c r="A78" t="s">
        <v>63</v>
      </c>
      <c r="B78" s="1">
        <v>45213</v>
      </c>
      <c r="C78" t="s">
        <v>251</v>
      </c>
      <c r="D78">
        <v>2023</v>
      </c>
      <c r="E78" t="s">
        <v>36</v>
      </c>
      <c r="F78" t="s">
        <v>37</v>
      </c>
      <c r="G78" t="s">
        <v>38</v>
      </c>
      <c r="H78">
        <v>27</v>
      </c>
      <c r="I78">
        <v>102642847</v>
      </c>
      <c r="J78">
        <v>0</v>
      </c>
      <c r="K78">
        <v>102642847</v>
      </c>
      <c r="L78" t="s">
        <v>17</v>
      </c>
      <c r="M78" t="s">
        <v>25</v>
      </c>
      <c r="N78" t="s">
        <v>266</v>
      </c>
      <c r="O78" t="s">
        <v>19</v>
      </c>
      <c r="P78">
        <v>10.52</v>
      </c>
      <c r="Q78">
        <v>7.44</v>
      </c>
    </row>
    <row r="79" spans="1:17" x14ac:dyDescent="0.25">
      <c r="A79" t="s">
        <v>64</v>
      </c>
      <c r="B79" s="1">
        <v>45196</v>
      </c>
      <c r="C79" t="s">
        <v>257</v>
      </c>
      <c r="D79">
        <v>2023</v>
      </c>
      <c r="E79" t="s">
        <v>65</v>
      </c>
      <c r="F79" t="s">
        <v>37</v>
      </c>
      <c r="G79" t="s">
        <v>29</v>
      </c>
      <c r="H79">
        <v>32</v>
      </c>
      <c r="I79">
        <v>145308817</v>
      </c>
      <c r="J79">
        <v>0</v>
      </c>
      <c r="K79">
        <v>145308817</v>
      </c>
      <c r="L79" t="s">
        <v>30</v>
      </c>
      <c r="M79" t="s">
        <v>25</v>
      </c>
      <c r="N79" t="s">
        <v>265</v>
      </c>
      <c r="O79" t="s">
        <v>39</v>
      </c>
      <c r="P79">
        <v>12.17</v>
      </c>
      <c r="Q79">
        <v>6.66</v>
      </c>
    </row>
    <row r="80" spans="1:17" x14ac:dyDescent="0.25">
      <c r="A80" t="s">
        <v>71</v>
      </c>
      <c r="B80" s="1">
        <v>45092</v>
      </c>
      <c r="C80" t="s">
        <v>252</v>
      </c>
      <c r="D80">
        <v>2023</v>
      </c>
      <c r="E80" t="s">
        <v>52</v>
      </c>
      <c r="F80" t="s">
        <v>37</v>
      </c>
      <c r="G80" t="s">
        <v>16</v>
      </c>
      <c r="H80">
        <v>36</v>
      </c>
      <c r="I80">
        <v>47825360</v>
      </c>
      <c r="J80">
        <v>0</v>
      </c>
      <c r="K80">
        <v>47825360</v>
      </c>
      <c r="L80" t="s">
        <v>17</v>
      </c>
      <c r="M80" t="s">
        <v>34</v>
      </c>
      <c r="N80" t="s">
        <v>266</v>
      </c>
      <c r="O80" t="s">
        <v>19</v>
      </c>
      <c r="P80">
        <v>12</v>
      </c>
      <c r="Q80">
        <v>8.52</v>
      </c>
    </row>
    <row r="81" spans="1:17" x14ac:dyDescent="0.25">
      <c r="A81" t="s">
        <v>74</v>
      </c>
      <c r="B81" s="1">
        <v>44937</v>
      </c>
      <c r="C81" t="s">
        <v>253</v>
      </c>
      <c r="D81">
        <v>2023</v>
      </c>
      <c r="E81" t="s">
        <v>54</v>
      </c>
      <c r="F81" t="s">
        <v>55</v>
      </c>
      <c r="G81" t="s">
        <v>16</v>
      </c>
      <c r="H81">
        <v>39</v>
      </c>
      <c r="I81">
        <v>96870496</v>
      </c>
      <c r="J81">
        <v>0</v>
      </c>
      <c r="K81">
        <v>96870496</v>
      </c>
      <c r="L81" t="s">
        <v>30</v>
      </c>
      <c r="M81" t="s">
        <v>18</v>
      </c>
      <c r="N81" t="s">
        <v>265</v>
      </c>
      <c r="O81" t="s">
        <v>39</v>
      </c>
      <c r="P81">
        <v>11.83</v>
      </c>
      <c r="Q81">
        <v>13.15</v>
      </c>
    </row>
    <row r="82" spans="1:17" x14ac:dyDescent="0.25">
      <c r="A82" t="s">
        <v>76</v>
      </c>
      <c r="B82" s="1">
        <v>45271</v>
      </c>
      <c r="C82" t="s">
        <v>262</v>
      </c>
      <c r="D82">
        <v>2023</v>
      </c>
      <c r="E82" t="s">
        <v>58</v>
      </c>
      <c r="F82" t="s">
        <v>50</v>
      </c>
      <c r="G82" t="s">
        <v>23</v>
      </c>
      <c r="H82">
        <v>20</v>
      </c>
      <c r="I82">
        <v>65684623</v>
      </c>
      <c r="J82">
        <v>0</v>
      </c>
      <c r="K82">
        <v>65684623</v>
      </c>
      <c r="L82" t="s">
        <v>30</v>
      </c>
      <c r="M82" t="s">
        <v>31</v>
      </c>
      <c r="N82" t="s">
        <v>265</v>
      </c>
      <c r="O82" t="s">
        <v>19</v>
      </c>
      <c r="P82">
        <v>6.9</v>
      </c>
      <c r="Q82">
        <v>3.3</v>
      </c>
    </row>
    <row r="83" spans="1:17" x14ac:dyDescent="0.25">
      <c r="A83" t="s">
        <v>79</v>
      </c>
      <c r="B83" s="1">
        <v>45381</v>
      </c>
      <c r="C83" t="s">
        <v>256</v>
      </c>
      <c r="D83">
        <v>2024</v>
      </c>
      <c r="E83" t="s">
        <v>49</v>
      </c>
      <c r="F83" t="s">
        <v>50</v>
      </c>
      <c r="G83" t="s">
        <v>29</v>
      </c>
      <c r="H83">
        <v>26</v>
      </c>
      <c r="I83">
        <v>42890213</v>
      </c>
      <c r="J83">
        <v>0</v>
      </c>
      <c r="K83">
        <v>42890213</v>
      </c>
      <c r="L83" t="s">
        <v>30</v>
      </c>
      <c r="M83" t="s">
        <v>31</v>
      </c>
      <c r="N83" t="s">
        <v>265</v>
      </c>
      <c r="O83" t="s">
        <v>19</v>
      </c>
      <c r="P83">
        <v>7.38</v>
      </c>
      <c r="Q83">
        <v>3.93</v>
      </c>
    </row>
    <row r="84" spans="1:17" x14ac:dyDescent="0.25">
      <c r="A84" t="s">
        <v>80</v>
      </c>
      <c r="B84" s="1">
        <v>45202</v>
      </c>
      <c r="C84" t="s">
        <v>251</v>
      </c>
      <c r="D84">
        <v>2023</v>
      </c>
      <c r="E84" t="s">
        <v>58</v>
      </c>
      <c r="F84" t="s">
        <v>50</v>
      </c>
      <c r="G84" t="s">
        <v>16</v>
      </c>
      <c r="H84">
        <v>25</v>
      </c>
      <c r="I84">
        <v>125713988</v>
      </c>
      <c r="J84">
        <v>0</v>
      </c>
      <c r="K84">
        <v>125713988</v>
      </c>
      <c r="L84" t="s">
        <v>30</v>
      </c>
      <c r="M84" t="s">
        <v>18</v>
      </c>
      <c r="N84" t="s">
        <v>265</v>
      </c>
      <c r="O84" t="s">
        <v>39</v>
      </c>
      <c r="P84">
        <v>6.9</v>
      </c>
      <c r="Q84">
        <v>3.3</v>
      </c>
    </row>
    <row r="85" spans="1:17" x14ac:dyDescent="0.25">
      <c r="A85" t="s">
        <v>82</v>
      </c>
      <c r="B85" s="1">
        <v>44982</v>
      </c>
      <c r="C85" t="s">
        <v>255</v>
      </c>
      <c r="D85">
        <v>2023</v>
      </c>
      <c r="E85" t="s">
        <v>52</v>
      </c>
      <c r="F85" t="s">
        <v>37</v>
      </c>
      <c r="G85" t="s">
        <v>29</v>
      </c>
      <c r="H85">
        <v>13</v>
      </c>
      <c r="I85">
        <v>126039628</v>
      </c>
      <c r="J85">
        <v>0</v>
      </c>
      <c r="K85">
        <v>126039628</v>
      </c>
      <c r="L85" t="s">
        <v>69</v>
      </c>
      <c r="M85" t="s">
        <v>34</v>
      </c>
      <c r="N85" t="s">
        <v>265</v>
      </c>
      <c r="O85" t="s">
        <v>19</v>
      </c>
      <c r="P85">
        <v>12</v>
      </c>
      <c r="Q85">
        <v>8.52</v>
      </c>
    </row>
    <row r="86" spans="1:17" x14ac:dyDescent="0.25">
      <c r="A86" t="s">
        <v>88</v>
      </c>
      <c r="B86" s="1">
        <v>44998</v>
      </c>
      <c r="C86" t="s">
        <v>256</v>
      </c>
      <c r="D86">
        <v>2023</v>
      </c>
      <c r="E86" t="s">
        <v>36</v>
      </c>
      <c r="F86" t="s">
        <v>37</v>
      </c>
      <c r="G86" t="s">
        <v>23</v>
      </c>
      <c r="H86">
        <v>14</v>
      </c>
      <c r="I86">
        <v>34358871</v>
      </c>
      <c r="J86">
        <v>0</v>
      </c>
      <c r="K86">
        <v>34358871</v>
      </c>
      <c r="L86" t="s">
        <v>24</v>
      </c>
      <c r="M86" t="s">
        <v>25</v>
      </c>
      <c r="N86" t="s">
        <v>267</v>
      </c>
      <c r="O86" t="s">
        <v>19</v>
      </c>
      <c r="P86">
        <v>10.52</v>
      </c>
      <c r="Q86">
        <v>7.44</v>
      </c>
    </row>
    <row r="87" spans="1:17" x14ac:dyDescent="0.25">
      <c r="A87" t="s">
        <v>89</v>
      </c>
      <c r="B87" s="1">
        <v>45195</v>
      </c>
      <c r="C87" t="s">
        <v>257</v>
      </c>
      <c r="D87">
        <v>2023</v>
      </c>
      <c r="E87" t="s">
        <v>14</v>
      </c>
      <c r="F87" t="s">
        <v>15</v>
      </c>
      <c r="G87" t="s">
        <v>38</v>
      </c>
      <c r="H87">
        <v>17</v>
      </c>
      <c r="I87">
        <v>30087558</v>
      </c>
      <c r="J87">
        <v>0</v>
      </c>
      <c r="K87">
        <v>30087558</v>
      </c>
      <c r="L87" t="s">
        <v>17</v>
      </c>
      <c r="M87" t="s">
        <v>25</v>
      </c>
      <c r="N87" t="s">
        <v>266</v>
      </c>
      <c r="O87" t="s">
        <v>19</v>
      </c>
      <c r="P87">
        <v>6.21</v>
      </c>
      <c r="Q87">
        <v>7.07</v>
      </c>
    </row>
    <row r="88" spans="1:17" x14ac:dyDescent="0.25">
      <c r="A88" t="s">
        <v>96</v>
      </c>
      <c r="B88" s="1">
        <v>45011</v>
      </c>
      <c r="C88" t="s">
        <v>256</v>
      </c>
      <c r="D88">
        <v>2023</v>
      </c>
      <c r="E88" t="s">
        <v>61</v>
      </c>
      <c r="F88" t="s">
        <v>28</v>
      </c>
      <c r="G88" t="s">
        <v>42</v>
      </c>
      <c r="H88">
        <v>36</v>
      </c>
      <c r="I88">
        <v>131654088</v>
      </c>
      <c r="J88">
        <v>0</v>
      </c>
      <c r="K88">
        <v>131654088</v>
      </c>
      <c r="L88" t="s">
        <v>69</v>
      </c>
      <c r="M88" t="s">
        <v>18</v>
      </c>
      <c r="N88" t="s">
        <v>265</v>
      </c>
      <c r="O88" t="s">
        <v>39</v>
      </c>
      <c r="P88">
        <v>9.07</v>
      </c>
      <c r="Q88">
        <v>7.49</v>
      </c>
    </row>
    <row r="89" spans="1:17" x14ac:dyDescent="0.25">
      <c r="A89" t="s">
        <v>100</v>
      </c>
      <c r="B89" s="1">
        <v>45219</v>
      </c>
      <c r="C89" t="s">
        <v>251</v>
      </c>
      <c r="D89">
        <v>2023</v>
      </c>
      <c r="E89" t="s">
        <v>65</v>
      </c>
      <c r="F89" t="s">
        <v>37</v>
      </c>
      <c r="G89" t="s">
        <v>16</v>
      </c>
      <c r="H89">
        <v>37</v>
      </c>
      <c r="I89">
        <v>36546178</v>
      </c>
      <c r="J89">
        <v>0</v>
      </c>
      <c r="K89">
        <v>36546178</v>
      </c>
      <c r="L89" t="s">
        <v>17</v>
      </c>
      <c r="M89" t="s">
        <v>25</v>
      </c>
      <c r="N89" t="s">
        <v>266</v>
      </c>
      <c r="O89" t="s">
        <v>39</v>
      </c>
      <c r="P89">
        <v>12.17</v>
      </c>
      <c r="Q89">
        <v>6.66</v>
      </c>
    </row>
    <row r="90" spans="1:17" x14ac:dyDescent="0.25">
      <c r="A90" t="s">
        <v>103</v>
      </c>
      <c r="B90" s="1">
        <v>45277</v>
      </c>
      <c r="C90" t="s">
        <v>262</v>
      </c>
      <c r="D90">
        <v>2023</v>
      </c>
      <c r="E90" t="s">
        <v>65</v>
      </c>
      <c r="F90" t="s">
        <v>37</v>
      </c>
      <c r="G90" t="s">
        <v>56</v>
      </c>
      <c r="H90">
        <v>27</v>
      </c>
      <c r="I90">
        <v>121244091</v>
      </c>
      <c r="J90">
        <v>0</v>
      </c>
      <c r="K90">
        <v>121244091</v>
      </c>
      <c r="L90" t="s">
        <v>17</v>
      </c>
      <c r="M90" t="s">
        <v>25</v>
      </c>
      <c r="N90" t="s">
        <v>266</v>
      </c>
      <c r="O90" t="s">
        <v>19</v>
      </c>
      <c r="P90">
        <v>12.17</v>
      </c>
      <c r="Q90">
        <v>6.66</v>
      </c>
    </row>
    <row r="91" spans="1:17" x14ac:dyDescent="0.25">
      <c r="A91" t="s">
        <v>105</v>
      </c>
      <c r="B91" s="1">
        <v>45047</v>
      </c>
      <c r="C91" t="s">
        <v>259</v>
      </c>
      <c r="D91">
        <v>2023</v>
      </c>
      <c r="E91" t="s">
        <v>61</v>
      </c>
      <c r="F91" t="s">
        <v>28</v>
      </c>
      <c r="G91" t="s">
        <v>29</v>
      </c>
      <c r="H91">
        <v>39</v>
      </c>
      <c r="I91">
        <v>116143465</v>
      </c>
      <c r="J91">
        <v>0</v>
      </c>
      <c r="K91">
        <v>116143465</v>
      </c>
      <c r="L91" t="s">
        <v>24</v>
      </c>
      <c r="M91" t="s">
        <v>31</v>
      </c>
      <c r="N91" t="s">
        <v>267</v>
      </c>
      <c r="O91" t="s">
        <v>19</v>
      </c>
      <c r="P91">
        <v>9.07</v>
      </c>
      <c r="Q91">
        <v>7.49</v>
      </c>
    </row>
    <row r="92" spans="1:17" x14ac:dyDescent="0.25">
      <c r="A92" t="s">
        <v>106</v>
      </c>
      <c r="B92" s="1">
        <v>45246</v>
      </c>
      <c r="C92" t="s">
        <v>260</v>
      </c>
      <c r="D92">
        <v>2023</v>
      </c>
      <c r="E92" t="s">
        <v>36</v>
      </c>
      <c r="F92" t="s">
        <v>37</v>
      </c>
      <c r="G92" t="s">
        <v>56</v>
      </c>
      <c r="H92">
        <v>5</v>
      </c>
      <c r="I92">
        <v>82813467</v>
      </c>
      <c r="J92">
        <v>0</v>
      </c>
      <c r="K92">
        <v>82813467</v>
      </c>
      <c r="L92" t="s">
        <v>17</v>
      </c>
      <c r="M92" t="s">
        <v>34</v>
      </c>
      <c r="N92" t="s">
        <v>266</v>
      </c>
      <c r="O92" t="s">
        <v>39</v>
      </c>
      <c r="P92">
        <v>10.52</v>
      </c>
      <c r="Q92">
        <v>7.44</v>
      </c>
    </row>
    <row r="93" spans="1:17" x14ac:dyDescent="0.25">
      <c r="A93" t="s">
        <v>107</v>
      </c>
      <c r="B93" s="1">
        <v>45360</v>
      </c>
      <c r="C93" t="s">
        <v>256</v>
      </c>
      <c r="D93">
        <v>2024</v>
      </c>
      <c r="E93" t="s">
        <v>58</v>
      </c>
      <c r="F93" t="s">
        <v>50</v>
      </c>
      <c r="G93" t="s">
        <v>56</v>
      </c>
      <c r="H93">
        <v>9</v>
      </c>
      <c r="I93">
        <v>93312082</v>
      </c>
      <c r="J93">
        <v>0</v>
      </c>
      <c r="K93">
        <v>93312082</v>
      </c>
      <c r="L93" t="s">
        <v>69</v>
      </c>
      <c r="M93" t="s">
        <v>34</v>
      </c>
      <c r="N93" t="s">
        <v>265</v>
      </c>
      <c r="O93" t="s">
        <v>39</v>
      </c>
      <c r="P93">
        <v>6.9</v>
      </c>
      <c r="Q93">
        <v>3.3</v>
      </c>
    </row>
    <row r="94" spans="1:17" x14ac:dyDescent="0.25">
      <c r="A94" t="s">
        <v>110</v>
      </c>
      <c r="B94" s="1">
        <v>45283</v>
      </c>
      <c r="C94" t="s">
        <v>262</v>
      </c>
      <c r="D94">
        <v>2023</v>
      </c>
      <c r="E94" t="s">
        <v>61</v>
      </c>
      <c r="F94" t="s">
        <v>28</v>
      </c>
      <c r="G94" t="s">
        <v>42</v>
      </c>
      <c r="H94">
        <v>14</v>
      </c>
      <c r="I94">
        <v>28536684</v>
      </c>
      <c r="J94">
        <v>0</v>
      </c>
      <c r="K94">
        <v>28536684</v>
      </c>
      <c r="L94" t="s">
        <v>30</v>
      </c>
      <c r="M94" t="s">
        <v>31</v>
      </c>
      <c r="N94" t="s">
        <v>265</v>
      </c>
      <c r="O94" t="s">
        <v>19</v>
      </c>
      <c r="P94">
        <v>9.07</v>
      </c>
      <c r="Q94">
        <v>7.49</v>
      </c>
    </row>
    <row r="95" spans="1:17" x14ac:dyDescent="0.25">
      <c r="A95" t="s">
        <v>115</v>
      </c>
      <c r="B95" s="1">
        <v>45315</v>
      </c>
      <c r="C95" t="s">
        <v>253</v>
      </c>
      <c r="D95">
        <v>2024</v>
      </c>
      <c r="E95" t="s">
        <v>61</v>
      </c>
      <c r="F95" t="s">
        <v>28</v>
      </c>
      <c r="G95" t="s">
        <v>38</v>
      </c>
      <c r="H95">
        <v>16</v>
      </c>
      <c r="I95">
        <v>10211622</v>
      </c>
      <c r="J95">
        <v>0</v>
      </c>
      <c r="K95">
        <v>10211622</v>
      </c>
      <c r="L95" t="s">
        <v>69</v>
      </c>
      <c r="M95" t="s">
        <v>25</v>
      </c>
      <c r="N95" t="s">
        <v>265</v>
      </c>
      <c r="O95" t="s">
        <v>39</v>
      </c>
      <c r="P95">
        <v>9.07</v>
      </c>
      <c r="Q95">
        <v>7.49</v>
      </c>
    </row>
    <row r="96" spans="1:17" x14ac:dyDescent="0.25">
      <c r="A96" t="s">
        <v>117</v>
      </c>
      <c r="B96" s="1">
        <v>45059</v>
      </c>
      <c r="C96" t="s">
        <v>259</v>
      </c>
      <c r="D96">
        <v>2023</v>
      </c>
      <c r="E96" t="s">
        <v>49</v>
      </c>
      <c r="F96" t="s">
        <v>50</v>
      </c>
      <c r="G96" t="s">
        <v>56</v>
      </c>
      <c r="H96">
        <v>38</v>
      </c>
      <c r="I96">
        <v>60325495</v>
      </c>
      <c r="J96">
        <v>0</v>
      </c>
      <c r="K96">
        <v>60325495</v>
      </c>
      <c r="L96" t="s">
        <v>17</v>
      </c>
      <c r="M96" t="s">
        <v>31</v>
      </c>
      <c r="N96" t="s">
        <v>266</v>
      </c>
      <c r="O96" t="s">
        <v>39</v>
      </c>
      <c r="P96">
        <v>7.38</v>
      </c>
      <c r="Q96">
        <v>3.93</v>
      </c>
    </row>
    <row r="97" spans="1:17" x14ac:dyDescent="0.25">
      <c r="A97" t="s">
        <v>119</v>
      </c>
      <c r="B97" s="1">
        <v>45322</v>
      </c>
      <c r="C97" t="s">
        <v>253</v>
      </c>
      <c r="D97">
        <v>2024</v>
      </c>
      <c r="E97" t="s">
        <v>65</v>
      </c>
      <c r="F97" t="s">
        <v>37</v>
      </c>
      <c r="G97" t="s">
        <v>38</v>
      </c>
      <c r="H97">
        <v>3</v>
      </c>
      <c r="I97">
        <v>16813928</v>
      </c>
      <c r="J97">
        <v>0</v>
      </c>
      <c r="K97">
        <v>16813928</v>
      </c>
      <c r="L97" t="s">
        <v>30</v>
      </c>
      <c r="M97" t="s">
        <v>34</v>
      </c>
      <c r="N97" t="s">
        <v>265</v>
      </c>
      <c r="O97" t="s">
        <v>19</v>
      </c>
      <c r="P97">
        <v>12.17</v>
      </c>
      <c r="Q97">
        <v>6.66</v>
      </c>
    </row>
    <row r="98" spans="1:17" x14ac:dyDescent="0.25">
      <c r="A98" t="s">
        <v>120</v>
      </c>
      <c r="B98" s="1">
        <v>45043</v>
      </c>
      <c r="C98" t="s">
        <v>258</v>
      </c>
      <c r="D98">
        <v>2023</v>
      </c>
      <c r="E98" t="s">
        <v>67</v>
      </c>
      <c r="F98" t="s">
        <v>50</v>
      </c>
      <c r="G98" t="s">
        <v>23</v>
      </c>
      <c r="H98">
        <v>12</v>
      </c>
      <c r="I98">
        <v>40512888</v>
      </c>
      <c r="J98">
        <v>0</v>
      </c>
      <c r="K98">
        <v>40512888</v>
      </c>
      <c r="L98" t="s">
        <v>24</v>
      </c>
      <c r="M98" t="s">
        <v>25</v>
      </c>
      <c r="N98" t="s">
        <v>267</v>
      </c>
      <c r="O98" t="s">
        <v>39</v>
      </c>
      <c r="P98">
        <v>6.52</v>
      </c>
      <c r="Q98">
        <v>3.37</v>
      </c>
    </row>
    <row r="99" spans="1:17" x14ac:dyDescent="0.25">
      <c r="A99" t="s">
        <v>128</v>
      </c>
      <c r="B99" s="1">
        <v>45342</v>
      </c>
      <c r="C99" t="s">
        <v>255</v>
      </c>
      <c r="D99">
        <v>2024</v>
      </c>
      <c r="E99" t="s">
        <v>49</v>
      </c>
      <c r="F99" t="s">
        <v>50</v>
      </c>
      <c r="G99" t="s">
        <v>42</v>
      </c>
      <c r="H99">
        <v>15</v>
      </c>
      <c r="I99">
        <v>15299847</v>
      </c>
      <c r="J99">
        <v>0</v>
      </c>
      <c r="K99">
        <v>15299847</v>
      </c>
      <c r="L99" t="s">
        <v>30</v>
      </c>
      <c r="M99" t="s">
        <v>18</v>
      </c>
      <c r="N99" t="s">
        <v>265</v>
      </c>
      <c r="O99" t="s">
        <v>39</v>
      </c>
      <c r="P99">
        <v>7.38</v>
      </c>
      <c r="Q99">
        <v>3.93</v>
      </c>
    </row>
    <row r="100" spans="1:17" x14ac:dyDescent="0.25">
      <c r="A100" t="s">
        <v>129</v>
      </c>
      <c r="B100" s="1">
        <v>45221</v>
      </c>
      <c r="C100" t="s">
        <v>251</v>
      </c>
      <c r="D100">
        <v>2023</v>
      </c>
      <c r="E100" t="s">
        <v>49</v>
      </c>
      <c r="F100" t="s">
        <v>50</v>
      </c>
      <c r="G100" t="s">
        <v>16</v>
      </c>
      <c r="H100">
        <v>2</v>
      </c>
      <c r="I100">
        <v>25737036</v>
      </c>
      <c r="J100">
        <v>0</v>
      </c>
      <c r="K100">
        <v>25737036</v>
      </c>
      <c r="L100" t="s">
        <v>69</v>
      </c>
      <c r="M100" t="s">
        <v>34</v>
      </c>
      <c r="N100" t="s">
        <v>265</v>
      </c>
      <c r="O100" t="s">
        <v>39</v>
      </c>
      <c r="P100">
        <v>7.38</v>
      </c>
      <c r="Q100">
        <v>3.93</v>
      </c>
    </row>
    <row r="101" spans="1:17" x14ac:dyDescent="0.25">
      <c r="A101" t="s">
        <v>130</v>
      </c>
      <c r="B101" s="1">
        <v>45176</v>
      </c>
      <c r="C101" t="s">
        <v>257</v>
      </c>
      <c r="D101">
        <v>2023</v>
      </c>
      <c r="E101" t="s">
        <v>61</v>
      </c>
      <c r="F101" t="s">
        <v>28</v>
      </c>
      <c r="G101" t="s">
        <v>16</v>
      </c>
      <c r="H101">
        <v>21</v>
      </c>
      <c r="I101">
        <v>62106266</v>
      </c>
      <c r="J101">
        <v>0</v>
      </c>
      <c r="K101">
        <v>62106266</v>
      </c>
      <c r="L101" t="s">
        <v>69</v>
      </c>
      <c r="M101" t="s">
        <v>31</v>
      </c>
      <c r="N101" t="s">
        <v>265</v>
      </c>
      <c r="O101" t="s">
        <v>19</v>
      </c>
      <c r="P101">
        <v>9.07</v>
      </c>
      <c r="Q101">
        <v>7.49</v>
      </c>
    </row>
    <row r="102" spans="1:17" x14ac:dyDescent="0.25">
      <c r="A102" t="s">
        <v>131</v>
      </c>
      <c r="B102" s="1">
        <v>45296</v>
      </c>
      <c r="C102" t="s">
        <v>253</v>
      </c>
      <c r="D102">
        <v>2024</v>
      </c>
      <c r="E102" t="s">
        <v>54</v>
      </c>
      <c r="F102" t="s">
        <v>55</v>
      </c>
      <c r="G102" t="s">
        <v>16</v>
      </c>
      <c r="H102">
        <v>37</v>
      </c>
      <c r="I102">
        <v>139769413</v>
      </c>
      <c r="J102">
        <v>0</v>
      </c>
      <c r="K102">
        <v>139769413</v>
      </c>
      <c r="L102" t="s">
        <v>17</v>
      </c>
      <c r="M102" t="s">
        <v>25</v>
      </c>
      <c r="N102" t="s">
        <v>266</v>
      </c>
      <c r="O102" t="s">
        <v>39</v>
      </c>
      <c r="P102">
        <v>11.83</v>
      </c>
      <c r="Q102">
        <v>13.15</v>
      </c>
    </row>
    <row r="103" spans="1:17" x14ac:dyDescent="0.25">
      <c r="A103" t="s">
        <v>133</v>
      </c>
      <c r="B103" s="1">
        <v>45187</v>
      </c>
      <c r="C103" t="s">
        <v>257</v>
      </c>
      <c r="D103">
        <v>2023</v>
      </c>
      <c r="E103" t="s">
        <v>27</v>
      </c>
      <c r="F103" t="s">
        <v>28</v>
      </c>
      <c r="G103" t="s">
        <v>56</v>
      </c>
      <c r="H103">
        <v>10</v>
      </c>
      <c r="I103">
        <v>117913959</v>
      </c>
      <c r="J103">
        <v>0</v>
      </c>
      <c r="K103">
        <v>117913959</v>
      </c>
      <c r="L103" t="s">
        <v>30</v>
      </c>
      <c r="M103" t="s">
        <v>34</v>
      </c>
      <c r="N103" t="s">
        <v>265</v>
      </c>
      <c r="O103" t="s">
        <v>19</v>
      </c>
      <c r="P103">
        <v>7.73</v>
      </c>
      <c r="Q103">
        <v>8.5399999999999991</v>
      </c>
    </row>
    <row r="104" spans="1:17" x14ac:dyDescent="0.25">
      <c r="A104" t="s">
        <v>134</v>
      </c>
      <c r="B104" s="1">
        <v>45280</v>
      </c>
      <c r="C104" t="s">
        <v>262</v>
      </c>
      <c r="D104">
        <v>2023</v>
      </c>
      <c r="E104" t="s">
        <v>67</v>
      </c>
      <c r="F104" t="s">
        <v>50</v>
      </c>
      <c r="G104" t="s">
        <v>29</v>
      </c>
      <c r="H104">
        <v>5</v>
      </c>
      <c r="I104">
        <v>74367148</v>
      </c>
      <c r="J104">
        <v>0</v>
      </c>
      <c r="K104">
        <v>74367148</v>
      </c>
      <c r="L104" t="s">
        <v>69</v>
      </c>
      <c r="M104" t="s">
        <v>34</v>
      </c>
      <c r="N104" t="s">
        <v>265</v>
      </c>
      <c r="O104" t="s">
        <v>39</v>
      </c>
      <c r="P104">
        <v>6.52</v>
      </c>
      <c r="Q104">
        <v>3.37</v>
      </c>
    </row>
    <row r="105" spans="1:17" x14ac:dyDescent="0.25">
      <c r="A105" t="s">
        <v>136</v>
      </c>
      <c r="B105" s="1">
        <v>45334</v>
      </c>
      <c r="C105" t="s">
        <v>255</v>
      </c>
      <c r="D105">
        <v>2024</v>
      </c>
      <c r="E105" t="s">
        <v>36</v>
      </c>
      <c r="F105" t="s">
        <v>37</v>
      </c>
      <c r="G105" t="s">
        <v>23</v>
      </c>
      <c r="H105">
        <v>25</v>
      </c>
      <c r="I105">
        <v>67285582</v>
      </c>
      <c r="J105">
        <v>0</v>
      </c>
      <c r="K105">
        <v>67285582</v>
      </c>
      <c r="L105" t="s">
        <v>24</v>
      </c>
      <c r="M105" t="s">
        <v>18</v>
      </c>
      <c r="N105" t="s">
        <v>267</v>
      </c>
      <c r="O105" t="s">
        <v>39</v>
      </c>
      <c r="P105">
        <v>10.52</v>
      </c>
      <c r="Q105">
        <v>7.44</v>
      </c>
    </row>
    <row r="106" spans="1:17" x14ac:dyDescent="0.25">
      <c r="A106" t="s">
        <v>138</v>
      </c>
      <c r="B106" s="1">
        <v>45245</v>
      </c>
      <c r="C106" t="s">
        <v>260</v>
      </c>
      <c r="D106">
        <v>2023</v>
      </c>
      <c r="E106" t="s">
        <v>52</v>
      </c>
      <c r="F106" t="s">
        <v>37</v>
      </c>
      <c r="G106" t="s">
        <v>29</v>
      </c>
      <c r="H106">
        <v>29</v>
      </c>
      <c r="I106">
        <v>144267164</v>
      </c>
      <c r="J106">
        <v>0</v>
      </c>
      <c r="K106">
        <v>144267164</v>
      </c>
      <c r="L106" t="s">
        <v>30</v>
      </c>
      <c r="M106" t="s">
        <v>34</v>
      </c>
      <c r="N106" t="s">
        <v>265</v>
      </c>
      <c r="O106" t="s">
        <v>39</v>
      </c>
      <c r="P106">
        <v>12</v>
      </c>
      <c r="Q106">
        <v>8.52</v>
      </c>
    </row>
    <row r="107" spans="1:17" x14ac:dyDescent="0.25">
      <c r="A107" t="s">
        <v>141</v>
      </c>
      <c r="B107" s="1">
        <v>45345</v>
      </c>
      <c r="C107" t="s">
        <v>255</v>
      </c>
      <c r="D107">
        <v>2024</v>
      </c>
      <c r="E107" t="s">
        <v>33</v>
      </c>
      <c r="F107" t="s">
        <v>22</v>
      </c>
      <c r="G107" t="s">
        <v>23</v>
      </c>
      <c r="H107">
        <v>13</v>
      </c>
      <c r="I107">
        <v>58701544</v>
      </c>
      <c r="J107">
        <v>0</v>
      </c>
      <c r="K107">
        <v>58701544</v>
      </c>
      <c r="L107" t="s">
        <v>30</v>
      </c>
      <c r="M107" t="s">
        <v>31</v>
      </c>
      <c r="N107" t="s">
        <v>265</v>
      </c>
      <c r="O107" t="s">
        <v>39</v>
      </c>
      <c r="P107">
        <v>4.75</v>
      </c>
      <c r="Q107">
        <v>7.01</v>
      </c>
    </row>
    <row r="108" spans="1:17" x14ac:dyDescent="0.25">
      <c r="A108" t="s">
        <v>142</v>
      </c>
      <c r="B108" s="1">
        <v>45074</v>
      </c>
      <c r="C108" t="s">
        <v>259</v>
      </c>
      <c r="D108">
        <v>2023</v>
      </c>
      <c r="E108" t="s">
        <v>36</v>
      </c>
      <c r="F108" t="s">
        <v>37</v>
      </c>
      <c r="G108" t="s">
        <v>16</v>
      </c>
      <c r="H108">
        <v>8</v>
      </c>
      <c r="I108">
        <v>21908344</v>
      </c>
      <c r="J108">
        <v>0</v>
      </c>
      <c r="K108">
        <v>21908344</v>
      </c>
      <c r="L108" t="s">
        <v>24</v>
      </c>
      <c r="M108" t="s">
        <v>18</v>
      </c>
      <c r="N108" t="s">
        <v>267</v>
      </c>
      <c r="O108" t="s">
        <v>39</v>
      </c>
      <c r="P108">
        <v>10.52</v>
      </c>
      <c r="Q108">
        <v>7.44</v>
      </c>
    </row>
    <row r="109" spans="1:17" x14ac:dyDescent="0.25">
      <c r="A109" t="s">
        <v>144</v>
      </c>
      <c r="B109" s="1">
        <v>45052</v>
      </c>
      <c r="C109" t="s">
        <v>259</v>
      </c>
      <c r="D109">
        <v>2023</v>
      </c>
      <c r="E109" t="s">
        <v>52</v>
      </c>
      <c r="F109" t="s">
        <v>37</v>
      </c>
      <c r="G109" t="s">
        <v>23</v>
      </c>
      <c r="H109">
        <v>35</v>
      </c>
      <c r="I109">
        <v>48810656</v>
      </c>
      <c r="J109">
        <v>0</v>
      </c>
      <c r="K109">
        <v>48810656</v>
      </c>
      <c r="L109" t="s">
        <v>24</v>
      </c>
      <c r="M109" t="s">
        <v>25</v>
      </c>
      <c r="N109" t="s">
        <v>267</v>
      </c>
      <c r="O109" t="s">
        <v>19</v>
      </c>
      <c r="P109">
        <v>12</v>
      </c>
      <c r="Q109">
        <v>8.52</v>
      </c>
    </row>
    <row r="110" spans="1:17" x14ac:dyDescent="0.25">
      <c r="A110" t="s">
        <v>146</v>
      </c>
      <c r="B110" s="1">
        <v>45284</v>
      </c>
      <c r="C110" t="s">
        <v>262</v>
      </c>
      <c r="D110">
        <v>2023</v>
      </c>
      <c r="E110" t="s">
        <v>54</v>
      </c>
      <c r="F110" t="s">
        <v>55</v>
      </c>
      <c r="G110" t="s">
        <v>38</v>
      </c>
      <c r="H110">
        <v>20</v>
      </c>
      <c r="I110">
        <v>120865066</v>
      </c>
      <c r="J110">
        <v>0</v>
      </c>
      <c r="K110">
        <v>120865066</v>
      </c>
      <c r="L110" t="s">
        <v>17</v>
      </c>
      <c r="M110" t="s">
        <v>34</v>
      </c>
      <c r="N110" t="s">
        <v>266</v>
      </c>
      <c r="O110" t="s">
        <v>39</v>
      </c>
      <c r="P110">
        <v>11.83</v>
      </c>
      <c r="Q110">
        <v>13.15</v>
      </c>
    </row>
    <row r="111" spans="1:17" x14ac:dyDescent="0.25">
      <c r="A111" t="s">
        <v>148</v>
      </c>
      <c r="B111" s="1">
        <v>45107</v>
      </c>
      <c r="C111" t="s">
        <v>252</v>
      </c>
      <c r="D111">
        <v>2023</v>
      </c>
      <c r="E111" t="s">
        <v>36</v>
      </c>
      <c r="F111" t="s">
        <v>37</v>
      </c>
      <c r="G111" t="s">
        <v>23</v>
      </c>
      <c r="H111">
        <v>22</v>
      </c>
      <c r="I111">
        <v>62432721</v>
      </c>
      <c r="J111">
        <v>0</v>
      </c>
      <c r="K111">
        <v>62432721</v>
      </c>
      <c r="L111" t="s">
        <v>69</v>
      </c>
      <c r="M111" t="s">
        <v>34</v>
      </c>
      <c r="N111" t="s">
        <v>265</v>
      </c>
      <c r="O111" t="s">
        <v>39</v>
      </c>
      <c r="P111">
        <v>10.52</v>
      </c>
      <c r="Q111">
        <v>7.44</v>
      </c>
    </row>
    <row r="112" spans="1:17" x14ac:dyDescent="0.25">
      <c r="A112" t="s">
        <v>154</v>
      </c>
      <c r="B112" s="1">
        <v>45293</v>
      </c>
      <c r="C112" t="s">
        <v>253</v>
      </c>
      <c r="D112">
        <v>2024</v>
      </c>
      <c r="E112" t="s">
        <v>36</v>
      </c>
      <c r="F112" t="s">
        <v>37</v>
      </c>
      <c r="G112" t="s">
        <v>47</v>
      </c>
      <c r="H112">
        <v>17</v>
      </c>
      <c r="I112">
        <v>110020654</v>
      </c>
      <c r="J112">
        <v>0</v>
      </c>
      <c r="K112">
        <v>110020654</v>
      </c>
      <c r="L112" t="s">
        <v>17</v>
      </c>
      <c r="M112" t="s">
        <v>18</v>
      </c>
      <c r="N112" t="s">
        <v>266</v>
      </c>
      <c r="O112" t="s">
        <v>39</v>
      </c>
      <c r="P112">
        <v>10.52</v>
      </c>
      <c r="Q112">
        <v>7.44</v>
      </c>
    </row>
    <row r="113" spans="1:17" x14ac:dyDescent="0.25">
      <c r="A113" t="s">
        <v>156</v>
      </c>
      <c r="B113" s="1">
        <v>44975</v>
      </c>
      <c r="C113" t="s">
        <v>255</v>
      </c>
      <c r="D113">
        <v>2023</v>
      </c>
      <c r="E113" t="s">
        <v>49</v>
      </c>
      <c r="F113" t="s">
        <v>50</v>
      </c>
      <c r="G113" t="s">
        <v>47</v>
      </c>
      <c r="H113">
        <v>15</v>
      </c>
      <c r="I113">
        <v>8433053</v>
      </c>
      <c r="J113">
        <v>0</v>
      </c>
      <c r="K113">
        <v>8433053</v>
      </c>
      <c r="L113" t="s">
        <v>30</v>
      </c>
      <c r="M113" t="s">
        <v>18</v>
      </c>
      <c r="N113" t="s">
        <v>265</v>
      </c>
      <c r="O113" t="s">
        <v>39</v>
      </c>
      <c r="P113">
        <v>7.38</v>
      </c>
      <c r="Q113">
        <v>3.93</v>
      </c>
    </row>
    <row r="114" spans="1:17" x14ac:dyDescent="0.25">
      <c r="A114" t="s">
        <v>157</v>
      </c>
      <c r="B114" s="1">
        <v>45018</v>
      </c>
      <c r="C114" t="s">
        <v>258</v>
      </c>
      <c r="D114">
        <v>2023</v>
      </c>
      <c r="E114" t="s">
        <v>36</v>
      </c>
      <c r="F114" t="s">
        <v>37</v>
      </c>
      <c r="G114" t="s">
        <v>42</v>
      </c>
      <c r="H114">
        <v>28</v>
      </c>
      <c r="I114">
        <v>63792800</v>
      </c>
      <c r="J114">
        <v>0</v>
      </c>
      <c r="K114">
        <v>63792800</v>
      </c>
      <c r="L114" t="s">
        <v>69</v>
      </c>
      <c r="M114" t="s">
        <v>25</v>
      </c>
      <c r="N114" t="s">
        <v>265</v>
      </c>
      <c r="O114" t="s">
        <v>39</v>
      </c>
      <c r="P114">
        <v>10.52</v>
      </c>
      <c r="Q114">
        <v>7.44</v>
      </c>
    </row>
    <row r="115" spans="1:17" x14ac:dyDescent="0.25">
      <c r="A115" t="s">
        <v>166</v>
      </c>
      <c r="B115" s="1">
        <v>45131</v>
      </c>
      <c r="C115" t="s">
        <v>261</v>
      </c>
      <c r="D115">
        <v>2023</v>
      </c>
      <c r="E115" t="s">
        <v>36</v>
      </c>
      <c r="F115" t="s">
        <v>37</v>
      </c>
      <c r="G115" t="s">
        <v>16</v>
      </c>
      <c r="H115">
        <v>33</v>
      </c>
      <c r="I115">
        <v>20289536</v>
      </c>
      <c r="J115">
        <v>0</v>
      </c>
      <c r="K115">
        <v>20289536</v>
      </c>
      <c r="L115" t="s">
        <v>24</v>
      </c>
      <c r="M115" t="s">
        <v>25</v>
      </c>
      <c r="N115" t="s">
        <v>267</v>
      </c>
      <c r="O115" t="s">
        <v>19</v>
      </c>
      <c r="P115">
        <v>10.52</v>
      </c>
      <c r="Q115">
        <v>7.44</v>
      </c>
    </row>
    <row r="116" spans="1:17" x14ac:dyDescent="0.25">
      <c r="A116" t="s">
        <v>167</v>
      </c>
      <c r="B116" s="1">
        <v>45051</v>
      </c>
      <c r="C116" t="s">
        <v>259</v>
      </c>
      <c r="D116">
        <v>2023</v>
      </c>
      <c r="E116" t="s">
        <v>49</v>
      </c>
      <c r="F116" t="s">
        <v>50</v>
      </c>
      <c r="G116" t="s">
        <v>42</v>
      </c>
      <c r="H116">
        <v>9</v>
      </c>
      <c r="I116">
        <v>45989170</v>
      </c>
      <c r="J116">
        <v>0</v>
      </c>
      <c r="K116">
        <v>45989170</v>
      </c>
      <c r="L116" t="s">
        <v>17</v>
      </c>
      <c r="M116" t="s">
        <v>25</v>
      </c>
      <c r="N116" t="s">
        <v>266</v>
      </c>
      <c r="O116" t="s">
        <v>39</v>
      </c>
      <c r="P116">
        <v>7.38</v>
      </c>
      <c r="Q116">
        <v>3.93</v>
      </c>
    </row>
    <row r="117" spans="1:17" x14ac:dyDescent="0.25">
      <c r="A117" t="s">
        <v>169</v>
      </c>
      <c r="B117" s="1">
        <v>44944</v>
      </c>
      <c r="C117" t="s">
        <v>253</v>
      </c>
      <c r="D117">
        <v>2023</v>
      </c>
      <c r="E117" t="s">
        <v>36</v>
      </c>
      <c r="F117" t="s">
        <v>37</v>
      </c>
      <c r="G117" t="s">
        <v>23</v>
      </c>
      <c r="H117">
        <v>19</v>
      </c>
      <c r="I117">
        <v>32858196</v>
      </c>
      <c r="J117">
        <v>0</v>
      </c>
      <c r="K117">
        <v>32858196</v>
      </c>
      <c r="L117" t="s">
        <v>69</v>
      </c>
      <c r="M117" t="s">
        <v>31</v>
      </c>
      <c r="N117" t="s">
        <v>265</v>
      </c>
      <c r="O117" t="s">
        <v>19</v>
      </c>
      <c r="P117">
        <v>10.52</v>
      </c>
      <c r="Q117">
        <v>7.44</v>
      </c>
    </row>
    <row r="118" spans="1:17" x14ac:dyDescent="0.25">
      <c r="A118" t="s">
        <v>172</v>
      </c>
      <c r="B118" s="1">
        <v>45246</v>
      </c>
      <c r="C118" t="s">
        <v>260</v>
      </c>
      <c r="D118">
        <v>2023</v>
      </c>
      <c r="E118" t="s">
        <v>49</v>
      </c>
      <c r="F118" t="s">
        <v>50</v>
      </c>
      <c r="G118" t="s">
        <v>29</v>
      </c>
      <c r="H118">
        <v>4</v>
      </c>
      <c r="I118">
        <v>56211871</v>
      </c>
      <c r="J118">
        <v>0</v>
      </c>
      <c r="K118">
        <v>56211871</v>
      </c>
      <c r="L118" t="s">
        <v>24</v>
      </c>
      <c r="M118" t="s">
        <v>25</v>
      </c>
      <c r="N118" t="s">
        <v>267</v>
      </c>
      <c r="O118" t="s">
        <v>19</v>
      </c>
      <c r="P118">
        <v>7.38</v>
      </c>
      <c r="Q118">
        <v>3.93</v>
      </c>
    </row>
    <row r="119" spans="1:17" x14ac:dyDescent="0.25">
      <c r="A119" t="s">
        <v>175</v>
      </c>
      <c r="B119" s="1">
        <v>45049</v>
      </c>
      <c r="C119" t="s">
        <v>259</v>
      </c>
      <c r="D119">
        <v>2023</v>
      </c>
      <c r="E119" t="s">
        <v>36</v>
      </c>
      <c r="F119" t="s">
        <v>37</v>
      </c>
      <c r="G119" t="s">
        <v>23</v>
      </c>
      <c r="H119">
        <v>5</v>
      </c>
      <c r="I119">
        <v>110082112</v>
      </c>
      <c r="J119">
        <v>0</v>
      </c>
      <c r="K119">
        <v>110082112</v>
      </c>
      <c r="L119" t="s">
        <v>24</v>
      </c>
      <c r="M119" t="s">
        <v>31</v>
      </c>
      <c r="N119" t="s">
        <v>267</v>
      </c>
      <c r="O119" t="s">
        <v>19</v>
      </c>
      <c r="P119">
        <v>10.52</v>
      </c>
      <c r="Q119">
        <v>7.44</v>
      </c>
    </row>
    <row r="120" spans="1:17" x14ac:dyDescent="0.25">
      <c r="A120" t="s">
        <v>178</v>
      </c>
      <c r="B120" s="1">
        <v>45200</v>
      </c>
      <c r="C120" t="s">
        <v>251</v>
      </c>
      <c r="D120">
        <v>2023</v>
      </c>
      <c r="E120" t="s">
        <v>65</v>
      </c>
      <c r="F120" t="s">
        <v>37</v>
      </c>
      <c r="G120" t="s">
        <v>47</v>
      </c>
      <c r="H120">
        <v>8</v>
      </c>
      <c r="I120">
        <v>70516565</v>
      </c>
      <c r="J120">
        <v>0</v>
      </c>
      <c r="K120">
        <v>70516565</v>
      </c>
      <c r="L120" t="s">
        <v>30</v>
      </c>
      <c r="M120" t="s">
        <v>25</v>
      </c>
      <c r="N120" t="s">
        <v>265</v>
      </c>
      <c r="O120" t="s">
        <v>39</v>
      </c>
      <c r="P120">
        <v>12.17</v>
      </c>
      <c r="Q120">
        <v>6.66</v>
      </c>
    </row>
    <row r="121" spans="1:17" x14ac:dyDescent="0.25">
      <c r="A121" t="s">
        <v>181</v>
      </c>
      <c r="B121" s="1">
        <v>45270</v>
      </c>
      <c r="C121" t="s">
        <v>262</v>
      </c>
      <c r="D121">
        <v>2023</v>
      </c>
      <c r="E121" t="s">
        <v>21</v>
      </c>
      <c r="F121" t="s">
        <v>22</v>
      </c>
      <c r="G121" t="s">
        <v>56</v>
      </c>
      <c r="H121">
        <v>10</v>
      </c>
      <c r="I121">
        <v>97391317</v>
      </c>
      <c r="J121">
        <v>0</v>
      </c>
      <c r="K121">
        <v>97391317</v>
      </c>
      <c r="L121" t="s">
        <v>30</v>
      </c>
      <c r="M121" t="s">
        <v>31</v>
      </c>
      <c r="N121" t="s">
        <v>265</v>
      </c>
      <c r="O121" t="s">
        <v>39</v>
      </c>
      <c r="P121">
        <v>5.7</v>
      </c>
      <c r="Q121">
        <v>5.9</v>
      </c>
    </row>
    <row r="122" spans="1:17" x14ac:dyDescent="0.25">
      <c r="A122" t="s">
        <v>182</v>
      </c>
      <c r="B122" s="1">
        <v>45334</v>
      </c>
      <c r="C122" t="s">
        <v>255</v>
      </c>
      <c r="D122">
        <v>2024</v>
      </c>
      <c r="E122" t="s">
        <v>27</v>
      </c>
      <c r="F122" t="s">
        <v>28</v>
      </c>
      <c r="G122" t="s">
        <v>29</v>
      </c>
      <c r="H122">
        <v>27</v>
      </c>
      <c r="I122">
        <v>124113375</v>
      </c>
      <c r="J122">
        <v>0</v>
      </c>
      <c r="K122">
        <v>124113375</v>
      </c>
      <c r="L122" t="s">
        <v>24</v>
      </c>
      <c r="M122" t="s">
        <v>31</v>
      </c>
      <c r="N122" t="s">
        <v>267</v>
      </c>
      <c r="O122" t="s">
        <v>19</v>
      </c>
      <c r="P122">
        <v>7.73</v>
      </c>
      <c r="Q122">
        <v>8.5399999999999991</v>
      </c>
    </row>
    <row r="123" spans="1:17" x14ac:dyDescent="0.25">
      <c r="A123" t="s">
        <v>186</v>
      </c>
      <c r="B123" s="1">
        <v>45247</v>
      </c>
      <c r="C123" t="s">
        <v>260</v>
      </c>
      <c r="D123">
        <v>2023</v>
      </c>
      <c r="E123" t="s">
        <v>54</v>
      </c>
      <c r="F123" t="s">
        <v>55</v>
      </c>
      <c r="G123" t="s">
        <v>29</v>
      </c>
      <c r="H123">
        <v>15</v>
      </c>
      <c r="I123">
        <v>19511737</v>
      </c>
      <c r="J123">
        <v>0</v>
      </c>
      <c r="K123">
        <v>19511737</v>
      </c>
      <c r="L123" t="s">
        <v>69</v>
      </c>
      <c r="M123" t="s">
        <v>25</v>
      </c>
      <c r="N123" t="s">
        <v>265</v>
      </c>
      <c r="O123" t="s">
        <v>39</v>
      </c>
      <c r="P123">
        <v>11.83</v>
      </c>
      <c r="Q123">
        <v>13.15</v>
      </c>
    </row>
    <row r="124" spans="1:17" x14ac:dyDescent="0.25">
      <c r="A124" t="s">
        <v>191</v>
      </c>
      <c r="B124" s="1">
        <v>45262</v>
      </c>
      <c r="C124" t="s">
        <v>262</v>
      </c>
      <c r="D124">
        <v>2023</v>
      </c>
      <c r="E124" t="s">
        <v>54</v>
      </c>
      <c r="F124" t="s">
        <v>55</v>
      </c>
      <c r="G124" t="s">
        <v>38</v>
      </c>
      <c r="H124">
        <v>9</v>
      </c>
      <c r="I124">
        <v>29840029</v>
      </c>
      <c r="J124">
        <v>0</v>
      </c>
      <c r="K124">
        <v>29840029</v>
      </c>
      <c r="L124" t="s">
        <v>24</v>
      </c>
      <c r="M124" t="s">
        <v>18</v>
      </c>
      <c r="N124" t="s">
        <v>267</v>
      </c>
      <c r="O124" t="s">
        <v>39</v>
      </c>
      <c r="P124">
        <v>11.83</v>
      </c>
      <c r="Q124">
        <v>13.15</v>
      </c>
    </row>
    <row r="125" spans="1:17" x14ac:dyDescent="0.25">
      <c r="A125" t="s">
        <v>192</v>
      </c>
      <c r="B125" s="1">
        <v>45125</v>
      </c>
      <c r="C125" t="s">
        <v>261</v>
      </c>
      <c r="D125">
        <v>2023</v>
      </c>
      <c r="E125" t="s">
        <v>52</v>
      </c>
      <c r="F125" t="s">
        <v>37</v>
      </c>
      <c r="G125" t="s">
        <v>16</v>
      </c>
      <c r="H125">
        <v>4</v>
      </c>
      <c r="I125">
        <v>109926171</v>
      </c>
      <c r="J125">
        <v>0</v>
      </c>
      <c r="K125">
        <v>109926171</v>
      </c>
      <c r="L125" t="s">
        <v>30</v>
      </c>
      <c r="M125" t="s">
        <v>31</v>
      </c>
      <c r="N125" t="s">
        <v>265</v>
      </c>
      <c r="O125" t="s">
        <v>19</v>
      </c>
      <c r="P125">
        <v>12</v>
      </c>
      <c r="Q125">
        <v>8.52</v>
      </c>
    </row>
    <row r="126" spans="1:17" x14ac:dyDescent="0.25">
      <c r="A126" t="s">
        <v>198</v>
      </c>
      <c r="B126" s="1">
        <v>45115</v>
      </c>
      <c r="C126" t="s">
        <v>261</v>
      </c>
      <c r="D126">
        <v>2023</v>
      </c>
      <c r="E126" t="s">
        <v>14</v>
      </c>
      <c r="F126" t="s">
        <v>15</v>
      </c>
      <c r="G126" t="s">
        <v>16</v>
      </c>
      <c r="H126">
        <v>11</v>
      </c>
      <c r="I126">
        <v>127238751</v>
      </c>
      <c r="J126">
        <v>0</v>
      </c>
      <c r="K126">
        <v>127238751</v>
      </c>
      <c r="L126" t="s">
        <v>24</v>
      </c>
      <c r="M126" t="s">
        <v>34</v>
      </c>
      <c r="N126" t="s">
        <v>267</v>
      </c>
      <c r="O126" t="s">
        <v>39</v>
      </c>
      <c r="P126">
        <v>6.21</v>
      </c>
      <c r="Q126">
        <v>7.07</v>
      </c>
    </row>
    <row r="127" spans="1:17" x14ac:dyDescent="0.25">
      <c r="A127" t="s">
        <v>201</v>
      </c>
      <c r="B127" s="1">
        <v>45274</v>
      </c>
      <c r="C127" t="s">
        <v>262</v>
      </c>
      <c r="D127">
        <v>2023</v>
      </c>
      <c r="E127" t="s">
        <v>36</v>
      </c>
      <c r="F127" t="s">
        <v>37</v>
      </c>
      <c r="G127" t="s">
        <v>29</v>
      </c>
      <c r="H127">
        <v>23</v>
      </c>
      <c r="I127">
        <v>130909567</v>
      </c>
      <c r="J127">
        <v>0</v>
      </c>
      <c r="K127">
        <v>130909567</v>
      </c>
      <c r="L127" t="s">
        <v>69</v>
      </c>
      <c r="M127" t="s">
        <v>18</v>
      </c>
      <c r="N127" t="s">
        <v>265</v>
      </c>
      <c r="O127" t="s">
        <v>39</v>
      </c>
      <c r="P127">
        <v>10.52</v>
      </c>
      <c r="Q127">
        <v>7.44</v>
      </c>
    </row>
    <row r="128" spans="1:17" x14ac:dyDescent="0.25">
      <c r="A128" t="s">
        <v>202</v>
      </c>
      <c r="B128" s="1">
        <v>45113</v>
      </c>
      <c r="C128" t="s">
        <v>261</v>
      </c>
      <c r="D128">
        <v>2023</v>
      </c>
      <c r="E128" t="s">
        <v>33</v>
      </c>
      <c r="F128" t="s">
        <v>22</v>
      </c>
      <c r="G128" t="s">
        <v>42</v>
      </c>
      <c r="H128">
        <v>33</v>
      </c>
      <c r="I128">
        <v>44851880</v>
      </c>
      <c r="J128">
        <v>0</v>
      </c>
      <c r="K128">
        <v>44851880</v>
      </c>
      <c r="L128" t="s">
        <v>69</v>
      </c>
      <c r="M128" t="s">
        <v>34</v>
      </c>
      <c r="N128" t="s">
        <v>265</v>
      </c>
      <c r="O128" t="s">
        <v>19</v>
      </c>
      <c r="P128">
        <v>4.75</v>
      </c>
      <c r="Q128">
        <v>7.01</v>
      </c>
    </row>
    <row r="129" spans="1:17" x14ac:dyDescent="0.25">
      <c r="A129" t="s">
        <v>204</v>
      </c>
      <c r="B129" s="1">
        <v>45147</v>
      </c>
      <c r="C129" t="s">
        <v>254</v>
      </c>
      <c r="D129">
        <v>2023</v>
      </c>
      <c r="E129" t="s">
        <v>65</v>
      </c>
      <c r="F129" t="s">
        <v>37</v>
      </c>
      <c r="G129" t="s">
        <v>23</v>
      </c>
      <c r="H129">
        <v>31</v>
      </c>
      <c r="I129">
        <v>120324844</v>
      </c>
      <c r="J129">
        <v>0</v>
      </c>
      <c r="K129">
        <v>120324844</v>
      </c>
      <c r="L129" t="s">
        <v>24</v>
      </c>
      <c r="M129" t="s">
        <v>34</v>
      </c>
      <c r="N129" t="s">
        <v>267</v>
      </c>
      <c r="O129" t="s">
        <v>19</v>
      </c>
      <c r="P129">
        <v>12.17</v>
      </c>
      <c r="Q129">
        <v>6.66</v>
      </c>
    </row>
    <row r="130" spans="1:17" x14ac:dyDescent="0.25">
      <c r="A130" t="s">
        <v>205</v>
      </c>
      <c r="B130" s="1">
        <v>45329</v>
      </c>
      <c r="C130" t="s">
        <v>255</v>
      </c>
      <c r="D130">
        <v>2024</v>
      </c>
      <c r="E130" t="s">
        <v>49</v>
      </c>
      <c r="F130" t="s">
        <v>50</v>
      </c>
      <c r="G130" t="s">
        <v>47</v>
      </c>
      <c r="H130">
        <v>10</v>
      </c>
      <c r="I130">
        <v>76795835</v>
      </c>
      <c r="J130">
        <v>0</v>
      </c>
      <c r="K130">
        <v>76795835</v>
      </c>
      <c r="L130" t="s">
        <v>24</v>
      </c>
      <c r="M130" t="s">
        <v>25</v>
      </c>
      <c r="N130" t="s">
        <v>267</v>
      </c>
      <c r="O130" t="s">
        <v>19</v>
      </c>
      <c r="P130">
        <v>7.38</v>
      </c>
      <c r="Q130">
        <v>3.93</v>
      </c>
    </row>
    <row r="131" spans="1:17" x14ac:dyDescent="0.25">
      <c r="A131" t="s">
        <v>206</v>
      </c>
      <c r="B131" s="1">
        <v>45090</v>
      </c>
      <c r="C131" t="s">
        <v>252</v>
      </c>
      <c r="D131">
        <v>2023</v>
      </c>
      <c r="E131" t="s">
        <v>36</v>
      </c>
      <c r="F131" t="s">
        <v>37</v>
      </c>
      <c r="G131" t="s">
        <v>23</v>
      </c>
      <c r="H131">
        <v>24</v>
      </c>
      <c r="I131">
        <v>80203486</v>
      </c>
      <c r="J131">
        <v>0</v>
      </c>
      <c r="K131">
        <v>80203486</v>
      </c>
      <c r="L131" t="s">
        <v>17</v>
      </c>
      <c r="M131" t="s">
        <v>25</v>
      </c>
      <c r="N131" t="s">
        <v>266</v>
      </c>
      <c r="O131" t="s">
        <v>19</v>
      </c>
      <c r="P131">
        <v>10.52</v>
      </c>
      <c r="Q131">
        <v>7.44</v>
      </c>
    </row>
    <row r="132" spans="1:17" x14ac:dyDescent="0.25">
      <c r="A132" t="s">
        <v>207</v>
      </c>
      <c r="B132" s="1">
        <v>45406</v>
      </c>
      <c r="C132" t="s">
        <v>258</v>
      </c>
      <c r="D132">
        <v>2024</v>
      </c>
      <c r="E132" t="s">
        <v>58</v>
      </c>
      <c r="F132" t="s">
        <v>50</v>
      </c>
      <c r="G132" t="s">
        <v>16</v>
      </c>
      <c r="H132">
        <v>2</v>
      </c>
      <c r="I132">
        <v>65043174</v>
      </c>
      <c r="J132">
        <v>0</v>
      </c>
      <c r="K132">
        <v>65043174</v>
      </c>
      <c r="L132" t="s">
        <v>24</v>
      </c>
      <c r="M132" t="s">
        <v>18</v>
      </c>
      <c r="N132" t="s">
        <v>267</v>
      </c>
      <c r="O132" t="s">
        <v>39</v>
      </c>
      <c r="P132">
        <v>6.9</v>
      </c>
      <c r="Q132">
        <v>3.3</v>
      </c>
    </row>
    <row r="133" spans="1:17" x14ac:dyDescent="0.25">
      <c r="A133" t="s">
        <v>210</v>
      </c>
      <c r="B133" s="1">
        <v>44997</v>
      </c>
      <c r="C133" t="s">
        <v>256</v>
      </c>
      <c r="D133">
        <v>2023</v>
      </c>
      <c r="E133" t="s">
        <v>52</v>
      </c>
      <c r="F133" t="s">
        <v>37</v>
      </c>
      <c r="G133" t="s">
        <v>56</v>
      </c>
      <c r="H133">
        <v>1</v>
      </c>
      <c r="I133">
        <v>18781160</v>
      </c>
      <c r="J133">
        <v>0</v>
      </c>
      <c r="K133">
        <v>18781160</v>
      </c>
      <c r="L133" t="s">
        <v>30</v>
      </c>
      <c r="M133" t="s">
        <v>31</v>
      </c>
      <c r="N133" t="s">
        <v>265</v>
      </c>
      <c r="O133" t="s">
        <v>19</v>
      </c>
      <c r="P133">
        <v>12</v>
      </c>
      <c r="Q133">
        <v>8.52</v>
      </c>
    </row>
    <row r="134" spans="1:17" x14ac:dyDescent="0.25">
      <c r="A134" t="s">
        <v>211</v>
      </c>
      <c r="B134" s="1">
        <v>45242</v>
      </c>
      <c r="C134" t="s">
        <v>260</v>
      </c>
      <c r="D134">
        <v>2023</v>
      </c>
      <c r="E134" t="s">
        <v>44</v>
      </c>
      <c r="F134" t="s">
        <v>37</v>
      </c>
      <c r="G134" t="s">
        <v>42</v>
      </c>
      <c r="H134">
        <v>18</v>
      </c>
      <c r="I134">
        <v>82345183</v>
      </c>
      <c r="J134">
        <v>0</v>
      </c>
      <c r="K134">
        <v>82345183</v>
      </c>
      <c r="L134" t="s">
        <v>30</v>
      </c>
      <c r="M134" t="s">
        <v>31</v>
      </c>
      <c r="N134" t="s">
        <v>265</v>
      </c>
      <c r="O134" t="s">
        <v>19</v>
      </c>
      <c r="P134">
        <v>12.99</v>
      </c>
      <c r="Q134">
        <v>7.6</v>
      </c>
    </row>
    <row r="135" spans="1:17" x14ac:dyDescent="0.25">
      <c r="A135" t="s">
        <v>214</v>
      </c>
      <c r="B135" s="1">
        <v>45151</v>
      </c>
      <c r="C135" t="s">
        <v>254</v>
      </c>
      <c r="D135">
        <v>2023</v>
      </c>
      <c r="E135" t="s">
        <v>44</v>
      </c>
      <c r="F135" t="s">
        <v>37</v>
      </c>
      <c r="G135" t="s">
        <v>29</v>
      </c>
      <c r="H135">
        <v>20</v>
      </c>
      <c r="I135">
        <v>35249585</v>
      </c>
      <c r="J135">
        <v>0</v>
      </c>
      <c r="K135">
        <v>35249585</v>
      </c>
      <c r="L135" t="s">
        <v>24</v>
      </c>
      <c r="M135" t="s">
        <v>31</v>
      </c>
      <c r="N135" t="s">
        <v>267</v>
      </c>
      <c r="O135" t="s">
        <v>39</v>
      </c>
      <c r="P135">
        <v>12.99</v>
      </c>
      <c r="Q135">
        <v>7.6</v>
      </c>
    </row>
    <row r="136" spans="1:17" x14ac:dyDescent="0.25">
      <c r="A136" t="s">
        <v>220</v>
      </c>
      <c r="B136" s="1">
        <v>45143</v>
      </c>
      <c r="C136" t="s">
        <v>254</v>
      </c>
      <c r="D136">
        <v>2023</v>
      </c>
      <c r="E136" t="s">
        <v>21</v>
      </c>
      <c r="F136" t="s">
        <v>22</v>
      </c>
      <c r="G136" t="s">
        <v>16</v>
      </c>
      <c r="H136">
        <v>20</v>
      </c>
      <c r="I136">
        <v>70344331</v>
      </c>
      <c r="J136">
        <v>0</v>
      </c>
      <c r="K136">
        <v>70344331</v>
      </c>
      <c r="L136" t="s">
        <v>30</v>
      </c>
      <c r="M136" t="s">
        <v>25</v>
      </c>
      <c r="N136" t="s">
        <v>265</v>
      </c>
      <c r="O136" t="s">
        <v>39</v>
      </c>
      <c r="P136">
        <v>5.7</v>
      </c>
      <c r="Q136">
        <v>5.9</v>
      </c>
    </row>
    <row r="137" spans="1:17" x14ac:dyDescent="0.25">
      <c r="A137" t="s">
        <v>223</v>
      </c>
      <c r="B137" s="1">
        <v>44977</v>
      </c>
      <c r="C137" t="s">
        <v>255</v>
      </c>
      <c r="D137">
        <v>2023</v>
      </c>
      <c r="E137" t="s">
        <v>65</v>
      </c>
      <c r="F137" t="s">
        <v>37</v>
      </c>
      <c r="G137" t="s">
        <v>42</v>
      </c>
      <c r="H137">
        <v>29</v>
      </c>
      <c r="I137">
        <v>134627793</v>
      </c>
      <c r="J137">
        <v>0</v>
      </c>
      <c r="K137">
        <v>134627793</v>
      </c>
      <c r="L137" t="s">
        <v>30</v>
      </c>
      <c r="M137" t="s">
        <v>18</v>
      </c>
      <c r="N137" t="s">
        <v>265</v>
      </c>
      <c r="O137" t="s">
        <v>39</v>
      </c>
      <c r="P137">
        <v>12.17</v>
      </c>
      <c r="Q137">
        <v>6.66</v>
      </c>
    </row>
    <row r="138" spans="1:17" x14ac:dyDescent="0.25">
      <c r="A138" t="s">
        <v>224</v>
      </c>
      <c r="B138" s="1">
        <v>45173</v>
      </c>
      <c r="C138" t="s">
        <v>257</v>
      </c>
      <c r="D138">
        <v>2023</v>
      </c>
      <c r="E138" t="s">
        <v>65</v>
      </c>
      <c r="F138" t="s">
        <v>37</v>
      </c>
      <c r="G138" t="s">
        <v>47</v>
      </c>
      <c r="H138">
        <v>31</v>
      </c>
      <c r="I138">
        <v>73478224</v>
      </c>
      <c r="J138">
        <v>0</v>
      </c>
      <c r="K138">
        <v>73478224</v>
      </c>
      <c r="L138" t="s">
        <v>30</v>
      </c>
      <c r="M138" t="s">
        <v>31</v>
      </c>
      <c r="N138" t="s">
        <v>265</v>
      </c>
      <c r="O138" t="s">
        <v>19</v>
      </c>
      <c r="P138">
        <v>12.17</v>
      </c>
      <c r="Q138">
        <v>6.66</v>
      </c>
    </row>
    <row r="139" spans="1:17" x14ac:dyDescent="0.25">
      <c r="A139" t="s">
        <v>226</v>
      </c>
      <c r="B139" s="1">
        <v>45259</v>
      </c>
      <c r="C139" t="s">
        <v>260</v>
      </c>
      <c r="D139">
        <v>2023</v>
      </c>
      <c r="E139" t="s">
        <v>58</v>
      </c>
      <c r="F139" t="s">
        <v>50</v>
      </c>
      <c r="G139" t="s">
        <v>23</v>
      </c>
      <c r="H139">
        <v>12</v>
      </c>
      <c r="I139">
        <v>134503021</v>
      </c>
      <c r="J139">
        <v>0</v>
      </c>
      <c r="K139">
        <v>134503021</v>
      </c>
      <c r="L139" t="s">
        <v>69</v>
      </c>
      <c r="M139" t="s">
        <v>31</v>
      </c>
      <c r="N139" t="s">
        <v>265</v>
      </c>
      <c r="O139" t="s">
        <v>19</v>
      </c>
      <c r="P139">
        <v>6.9</v>
      </c>
      <c r="Q139">
        <v>3.3</v>
      </c>
    </row>
    <row r="140" spans="1:17" x14ac:dyDescent="0.25">
      <c r="A140" t="s">
        <v>229</v>
      </c>
      <c r="B140" s="1">
        <v>45201</v>
      </c>
      <c r="C140" t="s">
        <v>251</v>
      </c>
      <c r="D140">
        <v>2023</v>
      </c>
      <c r="E140" t="s">
        <v>14</v>
      </c>
      <c r="F140" t="s">
        <v>15</v>
      </c>
      <c r="G140" t="s">
        <v>16</v>
      </c>
      <c r="H140">
        <v>17</v>
      </c>
      <c r="I140">
        <v>116825347</v>
      </c>
      <c r="J140">
        <v>0</v>
      </c>
      <c r="K140">
        <v>116825347</v>
      </c>
      <c r="L140" t="s">
        <v>30</v>
      </c>
      <c r="M140" t="s">
        <v>25</v>
      </c>
      <c r="N140" t="s">
        <v>265</v>
      </c>
      <c r="O140" t="s">
        <v>39</v>
      </c>
      <c r="P140">
        <v>6.21</v>
      </c>
      <c r="Q140">
        <v>7.07</v>
      </c>
    </row>
    <row r="141" spans="1:17" x14ac:dyDescent="0.25">
      <c r="A141" t="s">
        <v>233</v>
      </c>
      <c r="B141" s="1">
        <v>45375</v>
      </c>
      <c r="C141" t="s">
        <v>256</v>
      </c>
      <c r="D141">
        <v>2024</v>
      </c>
      <c r="E141" t="s">
        <v>14</v>
      </c>
      <c r="F141" t="s">
        <v>15</v>
      </c>
      <c r="G141" t="s">
        <v>29</v>
      </c>
      <c r="H141">
        <v>9</v>
      </c>
      <c r="I141">
        <v>146174916</v>
      </c>
      <c r="J141">
        <v>0</v>
      </c>
      <c r="K141">
        <v>146174916</v>
      </c>
      <c r="L141" t="s">
        <v>69</v>
      </c>
      <c r="M141" t="s">
        <v>31</v>
      </c>
      <c r="N141" t="s">
        <v>265</v>
      </c>
      <c r="O141" t="s">
        <v>39</v>
      </c>
      <c r="P141">
        <v>6.21</v>
      </c>
      <c r="Q141">
        <v>7.07</v>
      </c>
    </row>
    <row r="142" spans="1:17" x14ac:dyDescent="0.25">
      <c r="A142" t="s">
        <v>234</v>
      </c>
      <c r="B142" s="1">
        <v>44976</v>
      </c>
      <c r="C142" t="s">
        <v>255</v>
      </c>
      <c r="D142">
        <v>2023</v>
      </c>
      <c r="E142" t="s">
        <v>54</v>
      </c>
      <c r="F142" t="s">
        <v>55</v>
      </c>
      <c r="G142" t="s">
        <v>16</v>
      </c>
      <c r="H142">
        <v>30</v>
      </c>
      <c r="I142">
        <v>116897162</v>
      </c>
      <c r="J142">
        <v>0</v>
      </c>
      <c r="K142">
        <v>116897162</v>
      </c>
      <c r="L142" t="s">
        <v>30</v>
      </c>
      <c r="M142" t="s">
        <v>18</v>
      </c>
      <c r="N142" t="s">
        <v>265</v>
      </c>
      <c r="O142" t="s">
        <v>39</v>
      </c>
      <c r="P142">
        <v>11.83</v>
      </c>
      <c r="Q142">
        <v>13.15</v>
      </c>
    </row>
    <row r="143" spans="1:17" x14ac:dyDescent="0.25">
      <c r="A143" t="s">
        <v>237</v>
      </c>
      <c r="B143" s="1">
        <v>44944</v>
      </c>
      <c r="C143" t="s">
        <v>253</v>
      </c>
      <c r="D143">
        <v>2023</v>
      </c>
      <c r="E143" t="s">
        <v>54</v>
      </c>
      <c r="F143" t="s">
        <v>55</v>
      </c>
      <c r="G143" t="s">
        <v>23</v>
      </c>
      <c r="H143">
        <v>35</v>
      </c>
      <c r="I143">
        <v>11743618</v>
      </c>
      <c r="J143">
        <v>0</v>
      </c>
      <c r="K143">
        <v>11743618</v>
      </c>
      <c r="L143" t="s">
        <v>24</v>
      </c>
      <c r="M143" t="s">
        <v>25</v>
      </c>
      <c r="N143" t="s">
        <v>267</v>
      </c>
      <c r="O143" t="s">
        <v>39</v>
      </c>
      <c r="P143">
        <v>11.83</v>
      </c>
      <c r="Q143">
        <v>13.15</v>
      </c>
    </row>
    <row r="144" spans="1:17" x14ac:dyDescent="0.25">
      <c r="A144" t="s">
        <v>238</v>
      </c>
      <c r="B144" s="1">
        <v>45349</v>
      </c>
      <c r="C144" t="s">
        <v>255</v>
      </c>
      <c r="D144">
        <v>2024</v>
      </c>
      <c r="E144" t="s">
        <v>65</v>
      </c>
      <c r="F144" t="s">
        <v>37</v>
      </c>
      <c r="G144" t="s">
        <v>23</v>
      </c>
      <c r="H144">
        <v>40</v>
      </c>
      <c r="I144">
        <v>20081604</v>
      </c>
      <c r="J144">
        <v>0</v>
      </c>
      <c r="K144">
        <v>20081604</v>
      </c>
      <c r="L144" t="s">
        <v>30</v>
      </c>
      <c r="M144" t="s">
        <v>34</v>
      </c>
      <c r="N144" t="s">
        <v>265</v>
      </c>
      <c r="O144" t="s">
        <v>39</v>
      </c>
      <c r="P144">
        <v>12.17</v>
      </c>
      <c r="Q144">
        <v>6.66</v>
      </c>
    </row>
    <row r="145" spans="1:17" x14ac:dyDescent="0.25">
      <c r="A145" t="s">
        <v>26</v>
      </c>
      <c r="B145" s="1">
        <v>45296</v>
      </c>
      <c r="C145" t="s">
        <v>253</v>
      </c>
      <c r="D145">
        <v>2024</v>
      </c>
      <c r="E145" t="s">
        <v>27</v>
      </c>
      <c r="F145" t="s">
        <v>28</v>
      </c>
      <c r="G145" t="s">
        <v>29</v>
      </c>
      <c r="H145">
        <v>27</v>
      </c>
      <c r="I145">
        <v>134801379</v>
      </c>
      <c r="J145">
        <v>79002054</v>
      </c>
      <c r="K145">
        <v>55799325</v>
      </c>
      <c r="L145" t="s">
        <v>30</v>
      </c>
      <c r="M145" t="s">
        <v>31</v>
      </c>
      <c r="N145" t="s">
        <v>265</v>
      </c>
      <c r="O145" t="s">
        <v>19</v>
      </c>
      <c r="P145">
        <v>7.73</v>
      </c>
      <c r="Q145">
        <v>8.5399999999999991</v>
      </c>
    </row>
    <row r="146" spans="1:17" x14ac:dyDescent="0.25">
      <c r="A146" t="s">
        <v>32</v>
      </c>
      <c r="B146" s="1">
        <v>45161</v>
      </c>
      <c r="C146" t="s">
        <v>254</v>
      </c>
      <c r="D146">
        <v>2023</v>
      </c>
      <c r="E146" t="s">
        <v>33</v>
      </c>
      <c r="F146" t="s">
        <v>22</v>
      </c>
      <c r="G146" t="s">
        <v>16</v>
      </c>
      <c r="H146">
        <v>2</v>
      </c>
      <c r="I146">
        <v>76320051</v>
      </c>
      <c r="J146">
        <v>24647031</v>
      </c>
      <c r="K146">
        <v>51673020</v>
      </c>
      <c r="L146" t="s">
        <v>17</v>
      </c>
      <c r="M146" t="s">
        <v>34</v>
      </c>
      <c r="N146" t="s">
        <v>266</v>
      </c>
      <c r="O146" t="s">
        <v>19</v>
      </c>
      <c r="P146">
        <v>4.75</v>
      </c>
      <c r="Q146">
        <v>7.01</v>
      </c>
    </row>
    <row r="147" spans="1:17" x14ac:dyDescent="0.25">
      <c r="A147" t="s">
        <v>35</v>
      </c>
      <c r="B147" s="1">
        <v>44972</v>
      </c>
      <c r="C147" t="s">
        <v>255</v>
      </c>
      <c r="D147">
        <v>2023</v>
      </c>
      <c r="E147" t="s">
        <v>36</v>
      </c>
      <c r="F147" t="s">
        <v>37</v>
      </c>
      <c r="G147" t="s">
        <v>38</v>
      </c>
      <c r="H147">
        <v>26</v>
      </c>
      <c r="I147">
        <v>0</v>
      </c>
      <c r="J147">
        <v>41156046</v>
      </c>
      <c r="K147">
        <v>-41156046</v>
      </c>
      <c r="L147" t="s">
        <v>17</v>
      </c>
      <c r="M147" t="s">
        <v>18</v>
      </c>
      <c r="N147" t="s">
        <v>266</v>
      </c>
      <c r="O147" t="s">
        <v>39</v>
      </c>
      <c r="P147">
        <v>10.52</v>
      </c>
      <c r="Q147">
        <v>7.44</v>
      </c>
    </row>
    <row r="148" spans="1:17" x14ac:dyDescent="0.25">
      <c r="A148" t="s">
        <v>41</v>
      </c>
      <c r="B148" s="1">
        <v>45189</v>
      </c>
      <c r="C148" t="s">
        <v>257</v>
      </c>
      <c r="D148">
        <v>2023</v>
      </c>
      <c r="E148" t="s">
        <v>14</v>
      </c>
      <c r="F148" t="s">
        <v>15</v>
      </c>
      <c r="G148" t="s">
        <v>42</v>
      </c>
      <c r="H148">
        <v>6</v>
      </c>
      <c r="I148">
        <v>55275076</v>
      </c>
      <c r="J148">
        <v>22699975</v>
      </c>
      <c r="K148">
        <v>32575101</v>
      </c>
      <c r="L148" t="s">
        <v>24</v>
      </c>
      <c r="M148" t="s">
        <v>25</v>
      </c>
      <c r="N148" t="s">
        <v>267</v>
      </c>
      <c r="O148" t="s">
        <v>19</v>
      </c>
      <c r="P148">
        <v>6.21</v>
      </c>
      <c r="Q148">
        <v>7.07</v>
      </c>
    </row>
    <row r="149" spans="1:17" x14ac:dyDescent="0.25">
      <c r="A149" t="s">
        <v>43</v>
      </c>
      <c r="B149" s="1">
        <v>44979</v>
      </c>
      <c r="C149" t="s">
        <v>255</v>
      </c>
      <c r="D149">
        <v>2023</v>
      </c>
      <c r="E149" t="s">
        <v>44</v>
      </c>
      <c r="F149" t="s">
        <v>37</v>
      </c>
      <c r="G149" t="s">
        <v>42</v>
      </c>
      <c r="H149">
        <v>7</v>
      </c>
      <c r="I149">
        <v>0</v>
      </c>
      <c r="J149">
        <v>50956733</v>
      </c>
      <c r="K149">
        <v>-50956733</v>
      </c>
      <c r="L149" t="s">
        <v>30</v>
      </c>
      <c r="M149" t="s">
        <v>31</v>
      </c>
      <c r="N149" t="s">
        <v>265</v>
      </c>
      <c r="O149" t="s">
        <v>39</v>
      </c>
      <c r="P149">
        <v>12.99</v>
      </c>
      <c r="Q149">
        <v>7.6</v>
      </c>
    </row>
    <row r="150" spans="1:17" x14ac:dyDescent="0.25">
      <c r="A150" t="s">
        <v>45</v>
      </c>
      <c r="B150" s="1">
        <v>45031</v>
      </c>
      <c r="C150" t="s">
        <v>258</v>
      </c>
      <c r="D150">
        <v>2023</v>
      </c>
      <c r="E150" t="s">
        <v>14</v>
      </c>
      <c r="F150" t="s">
        <v>15</v>
      </c>
      <c r="G150" t="s">
        <v>42</v>
      </c>
      <c r="H150">
        <v>26</v>
      </c>
      <c r="I150">
        <v>0</v>
      </c>
      <c r="J150">
        <v>88603491</v>
      </c>
      <c r="K150">
        <v>-88603491</v>
      </c>
      <c r="L150" t="s">
        <v>17</v>
      </c>
      <c r="M150" t="s">
        <v>18</v>
      </c>
      <c r="N150" t="s">
        <v>266</v>
      </c>
      <c r="O150" t="s">
        <v>19</v>
      </c>
      <c r="P150">
        <v>6.21</v>
      </c>
      <c r="Q150">
        <v>7.07</v>
      </c>
    </row>
    <row r="151" spans="1:17" x14ac:dyDescent="0.25">
      <c r="A151" t="s">
        <v>48</v>
      </c>
      <c r="B151" s="1">
        <v>45426</v>
      </c>
      <c r="C151" t="s">
        <v>259</v>
      </c>
      <c r="D151">
        <v>2024</v>
      </c>
      <c r="E151" t="s">
        <v>49</v>
      </c>
      <c r="F151" t="s">
        <v>50</v>
      </c>
      <c r="G151" t="s">
        <v>38</v>
      </c>
      <c r="H151">
        <v>2</v>
      </c>
      <c r="I151">
        <v>0</v>
      </c>
      <c r="J151">
        <v>58873884</v>
      </c>
      <c r="K151">
        <v>-58873884</v>
      </c>
      <c r="L151" t="s">
        <v>17</v>
      </c>
      <c r="M151" t="s">
        <v>31</v>
      </c>
      <c r="N151" t="s">
        <v>266</v>
      </c>
      <c r="O151" t="s">
        <v>39</v>
      </c>
      <c r="P151">
        <v>7.38</v>
      </c>
      <c r="Q151">
        <v>3.93</v>
      </c>
    </row>
    <row r="152" spans="1:17" x14ac:dyDescent="0.25">
      <c r="A152" t="s">
        <v>62</v>
      </c>
      <c r="B152" s="1">
        <v>45399</v>
      </c>
      <c r="C152" t="s">
        <v>258</v>
      </c>
      <c r="D152">
        <v>2024</v>
      </c>
      <c r="E152" t="s">
        <v>44</v>
      </c>
      <c r="F152" t="s">
        <v>37</v>
      </c>
      <c r="G152" t="s">
        <v>29</v>
      </c>
      <c r="H152">
        <v>6</v>
      </c>
      <c r="I152">
        <v>0</v>
      </c>
      <c r="J152">
        <v>91448340</v>
      </c>
      <c r="K152">
        <v>-91448340</v>
      </c>
      <c r="L152" t="s">
        <v>30</v>
      </c>
      <c r="M152" t="s">
        <v>18</v>
      </c>
      <c r="N152" t="s">
        <v>265</v>
      </c>
      <c r="O152" t="s">
        <v>39</v>
      </c>
      <c r="P152">
        <v>12.99</v>
      </c>
      <c r="Q152">
        <v>7.6</v>
      </c>
    </row>
    <row r="153" spans="1:17" x14ac:dyDescent="0.25">
      <c r="A153" t="s">
        <v>66</v>
      </c>
      <c r="B153" s="1">
        <v>45145</v>
      </c>
      <c r="C153" t="s">
        <v>254</v>
      </c>
      <c r="D153">
        <v>2023</v>
      </c>
      <c r="E153" t="s">
        <v>67</v>
      </c>
      <c r="F153" t="s">
        <v>50</v>
      </c>
      <c r="G153" t="s">
        <v>29</v>
      </c>
      <c r="H153">
        <v>18</v>
      </c>
      <c r="I153">
        <v>0</v>
      </c>
      <c r="J153">
        <v>8072532</v>
      </c>
      <c r="K153">
        <v>-8072532</v>
      </c>
      <c r="L153" t="s">
        <v>24</v>
      </c>
      <c r="M153" t="s">
        <v>31</v>
      </c>
      <c r="N153" t="s">
        <v>267</v>
      </c>
      <c r="O153" t="s">
        <v>39</v>
      </c>
      <c r="P153">
        <v>6.52</v>
      </c>
      <c r="Q153">
        <v>3.37</v>
      </c>
    </row>
    <row r="154" spans="1:17" x14ac:dyDescent="0.25">
      <c r="A154" t="s">
        <v>68</v>
      </c>
      <c r="B154" s="1">
        <v>44985</v>
      </c>
      <c r="C154" t="s">
        <v>255</v>
      </c>
      <c r="D154">
        <v>2023</v>
      </c>
      <c r="E154" t="s">
        <v>33</v>
      </c>
      <c r="F154" t="s">
        <v>22</v>
      </c>
      <c r="G154" t="s">
        <v>56</v>
      </c>
      <c r="H154">
        <v>5</v>
      </c>
      <c r="I154">
        <v>0</v>
      </c>
      <c r="J154">
        <v>71976301</v>
      </c>
      <c r="K154">
        <v>-71976301</v>
      </c>
      <c r="L154" t="s">
        <v>69</v>
      </c>
      <c r="M154" t="s">
        <v>31</v>
      </c>
      <c r="N154" t="s">
        <v>265</v>
      </c>
      <c r="O154" t="s">
        <v>19</v>
      </c>
      <c r="P154">
        <v>4.75</v>
      </c>
      <c r="Q154">
        <v>7.01</v>
      </c>
    </row>
    <row r="155" spans="1:17" x14ac:dyDescent="0.25">
      <c r="A155" t="s">
        <v>72</v>
      </c>
      <c r="B155" s="1">
        <v>45422</v>
      </c>
      <c r="C155" t="s">
        <v>259</v>
      </c>
      <c r="D155">
        <v>2024</v>
      </c>
      <c r="E155" t="s">
        <v>61</v>
      </c>
      <c r="F155" t="s">
        <v>28</v>
      </c>
      <c r="G155" t="s">
        <v>23</v>
      </c>
      <c r="H155">
        <v>35</v>
      </c>
      <c r="I155">
        <v>38104390</v>
      </c>
      <c r="J155">
        <v>35241691</v>
      </c>
      <c r="K155">
        <v>2862699</v>
      </c>
      <c r="L155" t="s">
        <v>30</v>
      </c>
      <c r="M155" t="s">
        <v>31</v>
      </c>
      <c r="N155" t="s">
        <v>265</v>
      </c>
      <c r="O155" t="s">
        <v>39</v>
      </c>
      <c r="P155">
        <v>9.07</v>
      </c>
      <c r="Q155">
        <v>7.49</v>
      </c>
    </row>
    <row r="156" spans="1:17" x14ac:dyDescent="0.25">
      <c r="A156" t="s">
        <v>73</v>
      </c>
      <c r="B156" s="1">
        <v>45286</v>
      </c>
      <c r="C156" t="s">
        <v>262</v>
      </c>
      <c r="D156">
        <v>2023</v>
      </c>
      <c r="E156" t="s">
        <v>61</v>
      </c>
      <c r="F156" t="s">
        <v>28</v>
      </c>
      <c r="G156" t="s">
        <v>38</v>
      </c>
      <c r="H156">
        <v>5</v>
      </c>
      <c r="I156">
        <v>0</v>
      </c>
      <c r="J156">
        <v>84955125</v>
      </c>
      <c r="K156">
        <v>-84955125</v>
      </c>
      <c r="L156" t="s">
        <v>24</v>
      </c>
      <c r="M156" t="s">
        <v>34</v>
      </c>
      <c r="N156" t="s">
        <v>267</v>
      </c>
      <c r="O156" t="s">
        <v>39</v>
      </c>
      <c r="P156">
        <v>9.07</v>
      </c>
      <c r="Q156">
        <v>7.49</v>
      </c>
    </row>
    <row r="157" spans="1:17" x14ac:dyDescent="0.25">
      <c r="A157" t="s">
        <v>75</v>
      </c>
      <c r="B157" s="1">
        <v>45308</v>
      </c>
      <c r="C157" t="s">
        <v>253</v>
      </c>
      <c r="D157">
        <v>2024</v>
      </c>
      <c r="E157" t="s">
        <v>67</v>
      </c>
      <c r="F157" t="s">
        <v>50</v>
      </c>
      <c r="G157" t="s">
        <v>47</v>
      </c>
      <c r="H157">
        <v>1</v>
      </c>
      <c r="I157">
        <v>0</v>
      </c>
      <c r="J157">
        <v>30646944</v>
      </c>
      <c r="K157">
        <v>-30646944</v>
      </c>
      <c r="L157" t="s">
        <v>30</v>
      </c>
      <c r="M157" t="s">
        <v>31</v>
      </c>
      <c r="N157" t="s">
        <v>265</v>
      </c>
      <c r="O157" t="s">
        <v>19</v>
      </c>
      <c r="P157">
        <v>6.52</v>
      </c>
      <c r="Q157">
        <v>3.37</v>
      </c>
    </row>
    <row r="158" spans="1:17" x14ac:dyDescent="0.25">
      <c r="A158" t="s">
        <v>77</v>
      </c>
      <c r="B158" s="1">
        <v>45207</v>
      </c>
      <c r="C158" t="s">
        <v>251</v>
      </c>
      <c r="D158">
        <v>2023</v>
      </c>
      <c r="E158" t="s">
        <v>27</v>
      </c>
      <c r="F158" t="s">
        <v>28</v>
      </c>
      <c r="G158" t="s">
        <v>38</v>
      </c>
      <c r="H158">
        <v>8</v>
      </c>
      <c r="I158">
        <v>52950578</v>
      </c>
      <c r="J158">
        <v>61257860</v>
      </c>
      <c r="K158">
        <v>-8307282</v>
      </c>
      <c r="L158" t="s">
        <v>30</v>
      </c>
      <c r="M158" t="s">
        <v>31</v>
      </c>
      <c r="N158" t="s">
        <v>265</v>
      </c>
      <c r="O158" t="s">
        <v>39</v>
      </c>
      <c r="P158">
        <v>7.73</v>
      </c>
      <c r="Q158">
        <v>8.5399999999999991</v>
      </c>
    </row>
    <row r="159" spans="1:17" x14ac:dyDescent="0.25">
      <c r="A159" t="s">
        <v>83</v>
      </c>
      <c r="B159" s="1">
        <v>45014</v>
      </c>
      <c r="C159" t="s">
        <v>256</v>
      </c>
      <c r="D159">
        <v>2023</v>
      </c>
      <c r="E159" t="s">
        <v>52</v>
      </c>
      <c r="F159" t="s">
        <v>37</v>
      </c>
      <c r="G159" t="s">
        <v>42</v>
      </c>
      <c r="H159">
        <v>17</v>
      </c>
      <c r="I159">
        <v>0</v>
      </c>
      <c r="J159">
        <v>74380311</v>
      </c>
      <c r="K159">
        <v>-74380311</v>
      </c>
      <c r="L159" t="s">
        <v>30</v>
      </c>
      <c r="M159" t="s">
        <v>34</v>
      </c>
      <c r="N159" t="s">
        <v>265</v>
      </c>
      <c r="O159" t="s">
        <v>39</v>
      </c>
      <c r="P159">
        <v>12</v>
      </c>
      <c r="Q159">
        <v>8.52</v>
      </c>
    </row>
    <row r="160" spans="1:17" x14ac:dyDescent="0.25">
      <c r="A160" t="s">
        <v>85</v>
      </c>
      <c r="B160" s="1">
        <v>45167</v>
      </c>
      <c r="C160" t="s">
        <v>254</v>
      </c>
      <c r="D160">
        <v>2023</v>
      </c>
      <c r="E160" t="s">
        <v>61</v>
      </c>
      <c r="F160" t="s">
        <v>28</v>
      </c>
      <c r="G160" t="s">
        <v>56</v>
      </c>
      <c r="H160">
        <v>8</v>
      </c>
      <c r="I160">
        <v>0</v>
      </c>
      <c r="J160">
        <v>52917439</v>
      </c>
      <c r="K160">
        <v>-52917439</v>
      </c>
      <c r="L160" t="s">
        <v>69</v>
      </c>
      <c r="M160" t="s">
        <v>34</v>
      </c>
      <c r="N160" t="s">
        <v>265</v>
      </c>
      <c r="O160" t="s">
        <v>39</v>
      </c>
      <c r="P160">
        <v>9.07</v>
      </c>
      <c r="Q160">
        <v>7.49</v>
      </c>
    </row>
    <row r="161" spans="1:17" x14ac:dyDescent="0.25">
      <c r="A161" t="s">
        <v>86</v>
      </c>
      <c r="B161" s="1">
        <v>45110</v>
      </c>
      <c r="C161" t="s">
        <v>261</v>
      </c>
      <c r="D161">
        <v>2023</v>
      </c>
      <c r="E161" t="s">
        <v>44</v>
      </c>
      <c r="F161" t="s">
        <v>37</v>
      </c>
      <c r="G161" t="s">
        <v>42</v>
      </c>
      <c r="H161">
        <v>22</v>
      </c>
      <c r="I161">
        <v>7100511</v>
      </c>
      <c r="J161">
        <v>37925306</v>
      </c>
      <c r="K161">
        <v>-30824795</v>
      </c>
      <c r="L161" t="s">
        <v>24</v>
      </c>
      <c r="M161" t="s">
        <v>31</v>
      </c>
      <c r="N161" t="s">
        <v>267</v>
      </c>
      <c r="O161" t="s">
        <v>19</v>
      </c>
      <c r="P161">
        <v>12.99</v>
      </c>
      <c r="Q161">
        <v>7.6</v>
      </c>
    </row>
    <row r="162" spans="1:17" x14ac:dyDescent="0.25">
      <c r="A162" t="s">
        <v>87</v>
      </c>
      <c r="B162" s="1">
        <v>45298</v>
      </c>
      <c r="C162" t="s">
        <v>253</v>
      </c>
      <c r="D162">
        <v>2024</v>
      </c>
      <c r="E162" t="s">
        <v>54</v>
      </c>
      <c r="F162" t="s">
        <v>55</v>
      </c>
      <c r="G162" t="s">
        <v>47</v>
      </c>
      <c r="H162">
        <v>10</v>
      </c>
      <c r="I162">
        <v>0</v>
      </c>
      <c r="J162">
        <v>26936358</v>
      </c>
      <c r="K162">
        <v>-26936358</v>
      </c>
      <c r="L162" t="s">
        <v>69</v>
      </c>
      <c r="M162" t="s">
        <v>25</v>
      </c>
      <c r="N162" t="s">
        <v>265</v>
      </c>
      <c r="O162" t="s">
        <v>39</v>
      </c>
      <c r="P162">
        <v>11.83</v>
      </c>
      <c r="Q162">
        <v>13.15</v>
      </c>
    </row>
    <row r="163" spans="1:17" x14ac:dyDescent="0.25">
      <c r="A163" t="s">
        <v>92</v>
      </c>
      <c r="B163" s="1">
        <v>45290</v>
      </c>
      <c r="C163" t="s">
        <v>262</v>
      </c>
      <c r="D163">
        <v>2023</v>
      </c>
      <c r="E163" t="s">
        <v>33</v>
      </c>
      <c r="F163" t="s">
        <v>22</v>
      </c>
      <c r="G163" t="s">
        <v>38</v>
      </c>
      <c r="H163">
        <v>39</v>
      </c>
      <c r="I163">
        <v>88459239</v>
      </c>
      <c r="J163">
        <v>80862913</v>
      </c>
      <c r="K163">
        <v>7596326</v>
      </c>
      <c r="L163" t="s">
        <v>17</v>
      </c>
      <c r="M163" t="s">
        <v>25</v>
      </c>
      <c r="N163" t="s">
        <v>266</v>
      </c>
      <c r="O163" t="s">
        <v>39</v>
      </c>
      <c r="P163">
        <v>4.75</v>
      </c>
      <c r="Q163">
        <v>7.01</v>
      </c>
    </row>
    <row r="164" spans="1:17" x14ac:dyDescent="0.25">
      <c r="A164" t="s">
        <v>94</v>
      </c>
      <c r="B164" s="1">
        <v>45315</v>
      </c>
      <c r="C164" t="s">
        <v>253</v>
      </c>
      <c r="D164">
        <v>2024</v>
      </c>
      <c r="E164" t="s">
        <v>58</v>
      </c>
      <c r="F164" t="s">
        <v>50</v>
      </c>
      <c r="G164" t="s">
        <v>16</v>
      </c>
      <c r="H164">
        <v>21</v>
      </c>
      <c r="I164">
        <v>0</v>
      </c>
      <c r="J164">
        <v>33212155</v>
      </c>
      <c r="K164">
        <v>-33212155</v>
      </c>
      <c r="L164" t="s">
        <v>17</v>
      </c>
      <c r="M164" t="s">
        <v>18</v>
      </c>
      <c r="N164" t="s">
        <v>266</v>
      </c>
      <c r="O164" t="s">
        <v>19</v>
      </c>
      <c r="P164">
        <v>6.9</v>
      </c>
      <c r="Q164">
        <v>3.3</v>
      </c>
    </row>
    <row r="165" spans="1:17" x14ac:dyDescent="0.25">
      <c r="A165" t="s">
        <v>95</v>
      </c>
      <c r="B165" s="1">
        <v>45295</v>
      </c>
      <c r="C165" t="s">
        <v>253</v>
      </c>
      <c r="D165">
        <v>2024</v>
      </c>
      <c r="E165" t="s">
        <v>58</v>
      </c>
      <c r="F165" t="s">
        <v>50</v>
      </c>
      <c r="G165" t="s">
        <v>56</v>
      </c>
      <c r="H165">
        <v>36</v>
      </c>
      <c r="I165">
        <v>126554589</v>
      </c>
      <c r="J165">
        <v>79599340</v>
      </c>
      <c r="K165">
        <v>46955249</v>
      </c>
      <c r="L165" t="s">
        <v>24</v>
      </c>
      <c r="M165" t="s">
        <v>34</v>
      </c>
      <c r="N165" t="s">
        <v>267</v>
      </c>
      <c r="O165" t="s">
        <v>19</v>
      </c>
      <c r="P165">
        <v>6.9</v>
      </c>
      <c r="Q165">
        <v>3.3</v>
      </c>
    </row>
    <row r="166" spans="1:17" x14ac:dyDescent="0.25">
      <c r="A166" t="s">
        <v>99</v>
      </c>
      <c r="B166" s="1">
        <v>45142</v>
      </c>
      <c r="C166" t="s">
        <v>254</v>
      </c>
      <c r="D166">
        <v>2023</v>
      </c>
      <c r="E166" t="s">
        <v>61</v>
      </c>
      <c r="F166" t="s">
        <v>28</v>
      </c>
      <c r="G166" t="s">
        <v>47</v>
      </c>
      <c r="H166">
        <v>17</v>
      </c>
      <c r="I166">
        <v>39753311</v>
      </c>
      <c r="J166">
        <v>19811174</v>
      </c>
      <c r="K166">
        <v>19942137</v>
      </c>
      <c r="L166" t="s">
        <v>69</v>
      </c>
      <c r="M166" t="s">
        <v>18</v>
      </c>
      <c r="N166" t="s">
        <v>265</v>
      </c>
      <c r="O166" t="s">
        <v>39</v>
      </c>
      <c r="P166">
        <v>9.07</v>
      </c>
      <c r="Q166">
        <v>7.49</v>
      </c>
    </row>
    <row r="167" spans="1:17" x14ac:dyDescent="0.25">
      <c r="A167" t="s">
        <v>104</v>
      </c>
      <c r="B167" s="1">
        <v>45025</v>
      </c>
      <c r="C167" t="s">
        <v>258</v>
      </c>
      <c r="D167">
        <v>2023</v>
      </c>
      <c r="E167" t="s">
        <v>65</v>
      </c>
      <c r="F167" t="s">
        <v>37</v>
      </c>
      <c r="G167" t="s">
        <v>23</v>
      </c>
      <c r="H167">
        <v>35</v>
      </c>
      <c r="I167">
        <v>0</v>
      </c>
      <c r="J167">
        <v>80424974</v>
      </c>
      <c r="K167">
        <v>-80424974</v>
      </c>
      <c r="L167" t="s">
        <v>69</v>
      </c>
      <c r="M167" t="s">
        <v>31</v>
      </c>
      <c r="N167" t="s">
        <v>265</v>
      </c>
      <c r="O167" t="s">
        <v>19</v>
      </c>
      <c r="P167">
        <v>12.17</v>
      </c>
      <c r="Q167">
        <v>6.66</v>
      </c>
    </row>
    <row r="168" spans="1:17" x14ac:dyDescent="0.25">
      <c r="A168" t="s">
        <v>108</v>
      </c>
      <c r="B168" s="1">
        <v>45285</v>
      </c>
      <c r="C168" t="s">
        <v>262</v>
      </c>
      <c r="D168">
        <v>2023</v>
      </c>
      <c r="E168" t="s">
        <v>65</v>
      </c>
      <c r="F168" t="s">
        <v>37</v>
      </c>
      <c r="G168" t="s">
        <v>38</v>
      </c>
      <c r="H168">
        <v>5</v>
      </c>
      <c r="I168">
        <v>0</v>
      </c>
      <c r="J168">
        <v>45646850</v>
      </c>
      <c r="K168">
        <v>-45646850</v>
      </c>
      <c r="L168" t="s">
        <v>24</v>
      </c>
      <c r="M168" t="s">
        <v>31</v>
      </c>
      <c r="N168" t="s">
        <v>267</v>
      </c>
      <c r="O168" t="s">
        <v>39</v>
      </c>
      <c r="P168">
        <v>12.17</v>
      </c>
      <c r="Q168">
        <v>6.66</v>
      </c>
    </row>
    <row r="169" spans="1:17" x14ac:dyDescent="0.25">
      <c r="A169" t="s">
        <v>109</v>
      </c>
      <c r="B169" s="1">
        <v>45190</v>
      </c>
      <c r="C169" t="s">
        <v>257</v>
      </c>
      <c r="D169">
        <v>2023</v>
      </c>
      <c r="E169" t="s">
        <v>27</v>
      </c>
      <c r="F169" t="s">
        <v>28</v>
      </c>
      <c r="G169" t="s">
        <v>38</v>
      </c>
      <c r="H169">
        <v>4</v>
      </c>
      <c r="I169">
        <v>63731531</v>
      </c>
      <c r="J169">
        <v>83260677</v>
      </c>
      <c r="K169">
        <v>-19529146</v>
      </c>
      <c r="L169" t="s">
        <v>24</v>
      </c>
      <c r="M169" t="s">
        <v>18</v>
      </c>
      <c r="N169" t="s">
        <v>267</v>
      </c>
      <c r="O169" t="s">
        <v>19</v>
      </c>
      <c r="P169">
        <v>7.73</v>
      </c>
      <c r="Q169">
        <v>8.5399999999999991</v>
      </c>
    </row>
    <row r="170" spans="1:17" x14ac:dyDescent="0.25">
      <c r="A170" t="s">
        <v>121</v>
      </c>
      <c r="B170" s="1">
        <v>45241</v>
      </c>
      <c r="C170" t="s">
        <v>260</v>
      </c>
      <c r="D170">
        <v>2023</v>
      </c>
      <c r="E170" t="s">
        <v>61</v>
      </c>
      <c r="F170" t="s">
        <v>28</v>
      </c>
      <c r="G170" t="s">
        <v>47</v>
      </c>
      <c r="H170">
        <v>15</v>
      </c>
      <c r="I170">
        <v>0</v>
      </c>
      <c r="J170">
        <v>48232000</v>
      </c>
      <c r="K170">
        <v>-48232000</v>
      </c>
      <c r="L170" t="s">
        <v>17</v>
      </c>
      <c r="M170" t="s">
        <v>31</v>
      </c>
      <c r="N170" t="s">
        <v>266</v>
      </c>
      <c r="O170" t="s">
        <v>39</v>
      </c>
      <c r="P170">
        <v>9.07</v>
      </c>
      <c r="Q170">
        <v>7.49</v>
      </c>
    </row>
    <row r="171" spans="1:17" x14ac:dyDescent="0.25">
      <c r="A171" t="s">
        <v>122</v>
      </c>
      <c r="B171" s="1">
        <v>45417</v>
      </c>
      <c r="C171" t="s">
        <v>259</v>
      </c>
      <c r="D171">
        <v>2024</v>
      </c>
      <c r="E171" t="s">
        <v>54</v>
      </c>
      <c r="F171" t="s">
        <v>55</v>
      </c>
      <c r="G171" t="s">
        <v>38</v>
      </c>
      <c r="H171">
        <v>30</v>
      </c>
      <c r="I171">
        <v>0</v>
      </c>
      <c r="J171">
        <v>63541531</v>
      </c>
      <c r="K171">
        <v>-63541531</v>
      </c>
      <c r="L171" t="s">
        <v>24</v>
      </c>
      <c r="M171" t="s">
        <v>25</v>
      </c>
      <c r="N171" t="s">
        <v>267</v>
      </c>
      <c r="O171" t="s">
        <v>19</v>
      </c>
      <c r="P171">
        <v>11.83</v>
      </c>
      <c r="Q171">
        <v>13.15</v>
      </c>
    </row>
    <row r="172" spans="1:17" x14ac:dyDescent="0.25">
      <c r="A172" t="s">
        <v>123</v>
      </c>
      <c r="B172" s="1">
        <v>45341</v>
      </c>
      <c r="C172" t="s">
        <v>255</v>
      </c>
      <c r="D172">
        <v>2024</v>
      </c>
      <c r="E172" t="s">
        <v>21</v>
      </c>
      <c r="F172" t="s">
        <v>22</v>
      </c>
      <c r="G172" t="s">
        <v>56</v>
      </c>
      <c r="H172">
        <v>21</v>
      </c>
      <c r="I172">
        <v>131784158</v>
      </c>
      <c r="J172">
        <v>42881158</v>
      </c>
      <c r="K172">
        <v>88903000</v>
      </c>
      <c r="L172" t="s">
        <v>17</v>
      </c>
      <c r="M172" t="s">
        <v>18</v>
      </c>
      <c r="N172" t="s">
        <v>266</v>
      </c>
      <c r="O172" t="s">
        <v>39</v>
      </c>
      <c r="P172">
        <v>5.7</v>
      </c>
      <c r="Q172">
        <v>5.9</v>
      </c>
    </row>
    <row r="173" spans="1:17" x14ac:dyDescent="0.25">
      <c r="A173" t="s">
        <v>125</v>
      </c>
      <c r="B173" s="1">
        <v>45308</v>
      </c>
      <c r="C173" t="s">
        <v>253</v>
      </c>
      <c r="D173">
        <v>2024</v>
      </c>
      <c r="E173" t="s">
        <v>65</v>
      </c>
      <c r="F173" t="s">
        <v>37</v>
      </c>
      <c r="G173" t="s">
        <v>42</v>
      </c>
      <c r="H173">
        <v>28</v>
      </c>
      <c r="I173">
        <v>0</v>
      </c>
      <c r="J173">
        <v>80341878</v>
      </c>
      <c r="K173">
        <v>-80341878</v>
      </c>
      <c r="L173" t="s">
        <v>17</v>
      </c>
      <c r="M173" t="s">
        <v>25</v>
      </c>
      <c r="N173" t="s">
        <v>266</v>
      </c>
      <c r="O173" t="s">
        <v>39</v>
      </c>
      <c r="P173">
        <v>12.17</v>
      </c>
      <c r="Q173">
        <v>6.66</v>
      </c>
    </row>
    <row r="174" spans="1:17" x14ac:dyDescent="0.25">
      <c r="A174" t="s">
        <v>126</v>
      </c>
      <c r="B174" s="1">
        <v>45232</v>
      </c>
      <c r="C174" t="s">
        <v>260</v>
      </c>
      <c r="D174">
        <v>2023</v>
      </c>
      <c r="E174" t="s">
        <v>67</v>
      </c>
      <c r="F174" t="s">
        <v>50</v>
      </c>
      <c r="G174" t="s">
        <v>56</v>
      </c>
      <c r="H174">
        <v>3</v>
      </c>
      <c r="I174">
        <v>28781178</v>
      </c>
      <c r="J174">
        <v>61437044</v>
      </c>
      <c r="K174">
        <v>-32655866</v>
      </c>
      <c r="L174" t="s">
        <v>30</v>
      </c>
      <c r="M174" t="s">
        <v>34</v>
      </c>
      <c r="N174" t="s">
        <v>265</v>
      </c>
      <c r="O174" t="s">
        <v>39</v>
      </c>
      <c r="P174">
        <v>6.52</v>
      </c>
      <c r="Q174">
        <v>3.37</v>
      </c>
    </row>
    <row r="175" spans="1:17" x14ac:dyDescent="0.25">
      <c r="A175" t="s">
        <v>127</v>
      </c>
      <c r="B175" s="1">
        <v>45177</v>
      </c>
      <c r="C175" t="s">
        <v>257</v>
      </c>
      <c r="D175">
        <v>2023</v>
      </c>
      <c r="E175" t="s">
        <v>65</v>
      </c>
      <c r="F175" t="s">
        <v>37</v>
      </c>
      <c r="G175" t="s">
        <v>16</v>
      </c>
      <c r="H175">
        <v>14</v>
      </c>
      <c r="I175">
        <v>126735328</v>
      </c>
      <c r="J175">
        <v>54755163</v>
      </c>
      <c r="K175">
        <v>71980165</v>
      </c>
      <c r="L175" t="s">
        <v>24</v>
      </c>
      <c r="M175" t="s">
        <v>34</v>
      </c>
      <c r="N175" t="s">
        <v>267</v>
      </c>
      <c r="O175" t="s">
        <v>39</v>
      </c>
      <c r="P175">
        <v>12.17</v>
      </c>
      <c r="Q175">
        <v>6.66</v>
      </c>
    </row>
    <row r="176" spans="1:17" x14ac:dyDescent="0.25">
      <c r="A176" t="s">
        <v>137</v>
      </c>
      <c r="B176" s="1">
        <v>44944</v>
      </c>
      <c r="C176" t="s">
        <v>253</v>
      </c>
      <c r="D176">
        <v>2023</v>
      </c>
      <c r="E176" t="s">
        <v>49</v>
      </c>
      <c r="F176" t="s">
        <v>50</v>
      </c>
      <c r="G176" t="s">
        <v>42</v>
      </c>
      <c r="H176">
        <v>34</v>
      </c>
      <c r="I176">
        <v>23596044</v>
      </c>
      <c r="J176">
        <v>35603639</v>
      </c>
      <c r="K176">
        <v>-12007595</v>
      </c>
      <c r="L176" t="s">
        <v>69</v>
      </c>
      <c r="M176" t="s">
        <v>34</v>
      </c>
      <c r="N176" t="s">
        <v>265</v>
      </c>
      <c r="O176" t="s">
        <v>39</v>
      </c>
      <c r="P176">
        <v>7.38</v>
      </c>
      <c r="Q176">
        <v>3.93</v>
      </c>
    </row>
    <row r="177" spans="1:17" x14ac:dyDescent="0.25">
      <c r="A177" t="s">
        <v>145</v>
      </c>
      <c r="B177" s="1">
        <v>45418</v>
      </c>
      <c r="C177" t="s">
        <v>259</v>
      </c>
      <c r="D177">
        <v>2024</v>
      </c>
      <c r="E177" t="s">
        <v>44</v>
      </c>
      <c r="F177" t="s">
        <v>37</v>
      </c>
      <c r="G177" t="s">
        <v>23</v>
      </c>
      <c r="H177">
        <v>25</v>
      </c>
      <c r="I177">
        <v>0</v>
      </c>
      <c r="J177">
        <v>63345210</v>
      </c>
      <c r="K177">
        <v>-63345210</v>
      </c>
      <c r="L177" t="s">
        <v>30</v>
      </c>
      <c r="M177" t="s">
        <v>31</v>
      </c>
      <c r="N177" t="s">
        <v>265</v>
      </c>
      <c r="O177" t="s">
        <v>19</v>
      </c>
      <c r="P177">
        <v>12.99</v>
      </c>
      <c r="Q177">
        <v>7.6</v>
      </c>
    </row>
    <row r="178" spans="1:17" x14ac:dyDescent="0.25">
      <c r="A178" t="s">
        <v>151</v>
      </c>
      <c r="B178" s="1">
        <v>45153</v>
      </c>
      <c r="C178" t="s">
        <v>254</v>
      </c>
      <c r="D178">
        <v>2023</v>
      </c>
      <c r="E178" t="s">
        <v>61</v>
      </c>
      <c r="F178" t="s">
        <v>28</v>
      </c>
      <c r="G178" t="s">
        <v>47</v>
      </c>
      <c r="H178">
        <v>6</v>
      </c>
      <c r="I178">
        <v>134018162</v>
      </c>
      <c r="J178">
        <v>26197061</v>
      </c>
      <c r="K178">
        <v>107821101</v>
      </c>
      <c r="L178" t="s">
        <v>30</v>
      </c>
      <c r="M178" t="s">
        <v>31</v>
      </c>
      <c r="N178" t="s">
        <v>265</v>
      </c>
      <c r="O178" t="s">
        <v>39</v>
      </c>
      <c r="P178">
        <v>9.07</v>
      </c>
      <c r="Q178">
        <v>7.49</v>
      </c>
    </row>
    <row r="179" spans="1:17" x14ac:dyDescent="0.25">
      <c r="A179" t="s">
        <v>152</v>
      </c>
      <c r="B179" s="1">
        <v>45337</v>
      </c>
      <c r="C179" t="s">
        <v>255</v>
      </c>
      <c r="D179">
        <v>2024</v>
      </c>
      <c r="E179" t="s">
        <v>27</v>
      </c>
      <c r="F179" t="s">
        <v>28</v>
      </c>
      <c r="G179" t="s">
        <v>23</v>
      </c>
      <c r="H179">
        <v>18</v>
      </c>
      <c r="I179">
        <v>0</v>
      </c>
      <c r="J179">
        <v>23103392</v>
      </c>
      <c r="K179">
        <v>-23103392</v>
      </c>
      <c r="L179" t="s">
        <v>17</v>
      </c>
      <c r="M179" t="s">
        <v>31</v>
      </c>
      <c r="N179" t="s">
        <v>266</v>
      </c>
      <c r="O179" t="s">
        <v>19</v>
      </c>
      <c r="P179">
        <v>7.73</v>
      </c>
      <c r="Q179">
        <v>8.5399999999999991</v>
      </c>
    </row>
    <row r="180" spans="1:17" x14ac:dyDescent="0.25">
      <c r="A180" t="s">
        <v>153</v>
      </c>
      <c r="B180" s="1">
        <v>44971</v>
      </c>
      <c r="C180" t="s">
        <v>255</v>
      </c>
      <c r="D180">
        <v>2023</v>
      </c>
      <c r="E180" t="s">
        <v>14</v>
      </c>
      <c r="F180" t="s">
        <v>15</v>
      </c>
      <c r="G180" t="s">
        <v>23</v>
      </c>
      <c r="H180">
        <v>29</v>
      </c>
      <c r="I180">
        <v>0</v>
      </c>
      <c r="J180">
        <v>11634434</v>
      </c>
      <c r="K180">
        <v>-11634434</v>
      </c>
      <c r="L180" t="s">
        <v>24</v>
      </c>
      <c r="M180" t="s">
        <v>31</v>
      </c>
      <c r="N180" t="s">
        <v>267</v>
      </c>
      <c r="O180" t="s">
        <v>39</v>
      </c>
      <c r="P180">
        <v>6.21</v>
      </c>
      <c r="Q180">
        <v>7.07</v>
      </c>
    </row>
    <row r="181" spans="1:17" x14ac:dyDescent="0.25">
      <c r="A181" t="s">
        <v>155</v>
      </c>
      <c r="B181" s="1">
        <v>44975</v>
      </c>
      <c r="C181" t="s">
        <v>255</v>
      </c>
      <c r="D181">
        <v>2023</v>
      </c>
      <c r="E181" t="s">
        <v>44</v>
      </c>
      <c r="F181" t="s">
        <v>37</v>
      </c>
      <c r="G181" t="s">
        <v>16</v>
      </c>
      <c r="H181">
        <v>1</v>
      </c>
      <c r="I181">
        <v>145428854</v>
      </c>
      <c r="J181">
        <v>77032177</v>
      </c>
      <c r="K181">
        <v>68396677</v>
      </c>
      <c r="L181" t="s">
        <v>30</v>
      </c>
      <c r="M181" t="s">
        <v>31</v>
      </c>
      <c r="N181" t="s">
        <v>265</v>
      </c>
      <c r="O181" t="s">
        <v>39</v>
      </c>
      <c r="P181">
        <v>12.99</v>
      </c>
      <c r="Q181">
        <v>7.6</v>
      </c>
    </row>
    <row r="182" spans="1:17" x14ac:dyDescent="0.25">
      <c r="A182" t="s">
        <v>160</v>
      </c>
      <c r="B182" s="1">
        <v>45015</v>
      </c>
      <c r="C182" t="s">
        <v>256</v>
      </c>
      <c r="D182">
        <v>2023</v>
      </c>
      <c r="E182" t="s">
        <v>27</v>
      </c>
      <c r="F182" t="s">
        <v>28</v>
      </c>
      <c r="G182" t="s">
        <v>29</v>
      </c>
      <c r="H182">
        <v>39</v>
      </c>
      <c r="I182">
        <v>0</v>
      </c>
      <c r="J182">
        <v>43570500</v>
      </c>
      <c r="K182">
        <v>-43570500</v>
      </c>
      <c r="L182" t="s">
        <v>17</v>
      </c>
      <c r="M182" t="s">
        <v>31</v>
      </c>
      <c r="N182" t="s">
        <v>266</v>
      </c>
      <c r="O182" t="s">
        <v>39</v>
      </c>
      <c r="P182">
        <v>7.73</v>
      </c>
      <c r="Q182">
        <v>8.5399999999999991</v>
      </c>
    </row>
    <row r="183" spans="1:17" x14ac:dyDescent="0.25">
      <c r="A183" t="s">
        <v>161</v>
      </c>
      <c r="B183" s="1">
        <v>45261</v>
      </c>
      <c r="C183" t="s">
        <v>262</v>
      </c>
      <c r="D183">
        <v>2023</v>
      </c>
      <c r="E183" t="s">
        <v>61</v>
      </c>
      <c r="F183" t="s">
        <v>28</v>
      </c>
      <c r="G183" t="s">
        <v>16</v>
      </c>
      <c r="H183">
        <v>10</v>
      </c>
      <c r="I183">
        <v>73972960</v>
      </c>
      <c r="J183">
        <v>98681187</v>
      </c>
      <c r="K183">
        <v>-24708227</v>
      </c>
      <c r="L183" t="s">
        <v>17</v>
      </c>
      <c r="M183" t="s">
        <v>25</v>
      </c>
      <c r="N183" t="s">
        <v>266</v>
      </c>
      <c r="O183" t="s">
        <v>39</v>
      </c>
      <c r="P183">
        <v>9.07</v>
      </c>
      <c r="Q183">
        <v>7.49</v>
      </c>
    </row>
    <row r="184" spans="1:17" x14ac:dyDescent="0.25">
      <c r="A184" t="s">
        <v>170</v>
      </c>
      <c r="B184" s="1">
        <v>45189</v>
      </c>
      <c r="C184" t="s">
        <v>257</v>
      </c>
      <c r="D184">
        <v>2023</v>
      </c>
      <c r="E184" t="s">
        <v>27</v>
      </c>
      <c r="F184" t="s">
        <v>28</v>
      </c>
      <c r="G184" t="s">
        <v>29</v>
      </c>
      <c r="H184">
        <v>35</v>
      </c>
      <c r="I184">
        <v>100723312</v>
      </c>
      <c r="J184">
        <v>24145666</v>
      </c>
      <c r="K184">
        <v>76577646</v>
      </c>
      <c r="L184" t="s">
        <v>30</v>
      </c>
      <c r="M184" t="s">
        <v>18</v>
      </c>
      <c r="N184" t="s">
        <v>265</v>
      </c>
      <c r="O184" t="s">
        <v>39</v>
      </c>
      <c r="P184">
        <v>7.73</v>
      </c>
      <c r="Q184">
        <v>8.5399999999999991</v>
      </c>
    </row>
    <row r="185" spans="1:17" x14ac:dyDescent="0.25">
      <c r="A185" t="s">
        <v>173</v>
      </c>
      <c r="B185" s="1">
        <v>45367</v>
      </c>
      <c r="C185" t="s">
        <v>256</v>
      </c>
      <c r="D185">
        <v>2024</v>
      </c>
      <c r="E185" t="s">
        <v>61</v>
      </c>
      <c r="F185" t="s">
        <v>28</v>
      </c>
      <c r="G185" t="s">
        <v>56</v>
      </c>
      <c r="H185">
        <v>27</v>
      </c>
      <c r="I185">
        <v>128201908</v>
      </c>
      <c r="J185">
        <v>48849357</v>
      </c>
      <c r="K185">
        <v>79352551</v>
      </c>
      <c r="L185" t="s">
        <v>69</v>
      </c>
      <c r="M185" t="s">
        <v>18</v>
      </c>
      <c r="N185" t="s">
        <v>265</v>
      </c>
      <c r="O185" t="s">
        <v>39</v>
      </c>
      <c r="P185">
        <v>9.07</v>
      </c>
      <c r="Q185">
        <v>7.49</v>
      </c>
    </row>
    <row r="186" spans="1:17" x14ac:dyDescent="0.25">
      <c r="A186" t="s">
        <v>179</v>
      </c>
      <c r="B186" s="1">
        <v>45151</v>
      </c>
      <c r="C186" t="s">
        <v>254</v>
      </c>
      <c r="D186">
        <v>2023</v>
      </c>
      <c r="E186" t="s">
        <v>65</v>
      </c>
      <c r="F186" t="s">
        <v>37</v>
      </c>
      <c r="G186" t="s">
        <v>23</v>
      </c>
      <c r="H186">
        <v>7</v>
      </c>
      <c r="I186">
        <v>148818146</v>
      </c>
      <c r="J186">
        <v>44775288</v>
      </c>
      <c r="K186">
        <v>104042858</v>
      </c>
      <c r="L186" t="s">
        <v>30</v>
      </c>
      <c r="M186" t="s">
        <v>25</v>
      </c>
      <c r="N186" t="s">
        <v>265</v>
      </c>
      <c r="O186" t="s">
        <v>39</v>
      </c>
      <c r="P186">
        <v>12.17</v>
      </c>
      <c r="Q186">
        <v>6.66</v>
      </c>
    </row>
    <row r="187" spans="1:17" x14ac:dyDescent="0.25">
      <c r="A187" t="s">
        <v>184</v>
      </c>
      <c r="B187" s="1">
        <v>45359</v>
      </c>
      <c r="C187" t="s">
        <v>256</v>
      </c>
      <c r="D187">
        <v>2024</v>
      </c>
      <c r="E187" t="s">
        <v>49</v>
      </c>
      <c r="F187" t="s">
        <v>50</v>
      </c>
      <c r="G187" t="s">
        <v>29</v>
      </c>
      <c r="H187">
        <v>34</v>
      </c>
      <c r="I187">
        <v>0</v>
      </c>
      <c r="J187">
        <v>74295517</v>
      </c>
      <c r="K187">
        <v>-74295517</v>
      </c>
      <c r="L187" t="s">
        <v>69</v>
      </c>
      <c r="M187" t="s">
        <v>25</v>
      </c>
      <c r="N187" t="s">
        <v>265</v>
      </c>
      <c r="O187" t="s">
        <v>19</v>
      </c>
      <c r="P187">
        <v>7.38</v>
      </c>
      <c r="Q187">
        <v>3.93</v>
      </c>
    </row>
    <row r="188" spans="1:17" x14ac:dyDescent="0.25">
      <c r="A188" t="s">
        <v>185</v>
      </c>
      <c r="B188" s="1">
        <v>45382</v>
      </c>
      <c r="C188" t="s">
        <v>256</v>
      </c>
      <c r="D188">
        <v>2024</v>
      </c>
      <c r="E188" t="s">
        <v>67</v>
      </c>
      <c r="F188" t="s">
        <v>50</v>
      </c>
      <c r="G188" t="s">
        <v>29</v>
      </c>
      <c r="H188">
        <v>25</v>
      </c>
      <c r="I188">
        <v>11180373</v>
      </c>
      <c r="J188">
        <v>73348632</v>
      </c>
      <c r="K188">
        <v>-62168259</v>
      </c>
      <c r="L188" t="s">
        <v>69</v>
      </c>
      <c r="M188" t="s">
        <v>34</v>
      </c>
      <c r="N188" t="s">
        <v>265</v>
      </c>
      <c r="O188" t="s">
        <v>39</v>
      </c>
      <c r="P188">
        <v>6.52</v>
      </c>
      <c r="Q188">
        <v>3.37</v>
      </c>
    </row>
    <row r="189" spans="1:17" x14ac:dyDescent="0.25">
      <c r="A189" t="s">
        <v>200</v>
      </c>
      <c r="B189" s="1">
        <v>45156</v>
      </c>
      <c r="C189" t="s">
        <v>254</v>
      </c>
      <c r="D189">
        <v>2023</v>
      </c>
      <c r="E189" t="s">
        <v>65</v>
      </c>
      <c r="F189" t="s">
        <v>37</v>
      </c>
      <c r="G189" t="s">
        <v>29</v>
      </c>
      <c r="H189">
        <v>14</v>
      </c>
      <c r="I189">
        <v>0</v>
      </c>
      <c r="J189">
        <v>30285729</v>
      </c>
      <c r="K189">
        <v>-30285729</v>
      </c>
      <c r="L189" t="s">
        <v>69</v>
      </c>
      <c r="M189" t="s">
        <v>25</v>
      </c>
      <c r="N189" t="s">
        <v>265</v>
      </c>
      <c r="O189" t="s">
        <v>19</v>
      </c>
      <c r="P189">
        <v>12.17</v>
      </c>
      <c r="Q189">
        <v>6.66</v>
      </c>
    </row>
    <row r="190" spans="1:17" x14ac:dyDescent="0.25">
      <c r="A190" t="s">
        <v>209</v>
      </c>
      <c r="B190" s="1">
        <v>44934</v>
      </c>
      <c r="C190" t="s">
        <v>253</v>
      </c>
      <c r="D190">
        <v>2023</v>
      </c>
      <c r="E190" t="s">
        <v>21</v>
      </c>
      <c r="F190" t="s">
        <v>22</v>
      </c>
      <c r="G190" t="s">
        <v>16</v>
      </c>
      <c r="H190">
        <v>29</v>
      </c>
      <c r="I190">
        <v>0</v>
      </c>
      <c r="J190">
        <v>49108899</v>
      </c>
      <c r="K190">
        <v>-49108899</v>
      </c>
      <c r="L190" t="s">
        <v>17</v>
      </c>
      <c r="M190" t="s">
        <v>31</v>
      </c>
      <c r="N190" t="s">
        <v>266</v>
      </c>
      <c r="O190" t="s">
        <v>39</v>
      </c>
      <c r="P190">
        <v>5.7</v>
      </c>
      <c r="Q190">
        <v>5.9</v>
      </c>
    </row>
    <row r="191" spans="1:17" x14ac:dyDescent="0.25">
      <c r="A191" t="s">
        <v>212</v>
      </c>
      <c r="B191" s="1">
        <v>45296</v>
      </c>
      <c r="C191" t="s">
        <v>253</v>
      </c>
      <c r="D191">
        <v>2024</v>
      </c>
      <c r="E191" t="s">
        <v>33</v>
      </c>
      <c r="F191" t="s">
        <v>22</v>
      </c>
      <c r="G191" t="s">
        <v>42</v>
      </c>
      <c r="H191">
        <v>23</v>
      </c>
      <c r="I191">
        <v>0</v>
      </c>
      <c r="J191">
        <v>77323347</v>
      </c>
      <c r="K191">
        <v>-77323347</v>
      </c>
      <c r="L191" t="s">
        <v>17</v>
      </c>
      <c r="M191" t="s">
        <v>31</v>
      </c>
      <c r="N191" t="s">
        <v>266</v>
      </c>
      <c r="O191" t="s">
        <v>19</v>
      </c>
      <c r="P191">
        <v>4.75</v>
      </c>
      <c r="Q191">
        <v>7.01</v>
      </c>
    </row>
    <row r="192" spans="1:17" x14ac:dyDescent="0.25">
      <c r="A192" t="s">
        <v>213</v>
      </c>
      <c r="B192" s="1">
        <v>45052</v>
      </c>
      <c r="C192" t="s">
        <v>259</v>
      </c>
      <c r="D192">
        <v>2023</v>
      </c>
      <c r="E192" t="s">
        <v>27</v>
      </c>
      <c r="F192" t="s">
        <v>28</v>
      </c>
      <c r="G192" t="s">
        <v>42</v>
      </c>
      <c r="H192">
        <v>16</v>
      </c>
      <c r="I192">
        <v>0</v>
      </c>
      <c r="J192">
        <v>40489202</v>
      </c>
      <c r="K192">
        <v>-40489202</v>
      </c>
      <c r="L192" t="s">
        <v>17</v>
      </c>
      <c r="M192" t="s">
        <v>25</v>
      </c>
      <c r="N192" t="s">
        <v>266</v>
      </c>
      <c r="O192" t="s">
        <v>19</v>
      </c>
      <c r="P192">
        <v>7.73</v>
      </c>
      <c r="Q192">
        <v>8.5399999999999991</v>
      </c>
    </row>
    <row r="193" spans="1:17" x14ac:dyDescent="0.25">
      <c r="A193" t="s">
        <v>215</v>
      </c>
      <c r="B193" s="1">
        <v>45006</v>
      </c>
      <c r="C193" t="s">
        <v>256</v>
      </c>
      <c r="D193">
        <v>2023</v>
      </c>
      <c r="E193" t="s">
        <v>54</v>
      </c>
      <c r="F193" t="s">
        <v>55</v>
      </c>
      <c r="G193" t="s">
        <v>47</v>
      </c>
      <c r="H193">
        <v>39</v>
      </c>
      <c r="I193">
        <v>137115873</v>
      </c>
      <c r="J193">
        <v>79313286</v>
      </c>
      <c r="K193">
        <v>57802587</v>
      </c>
      <c r="L193" t="s">
        <v>24</v>
      </c>
      <c r="M193" t="s">
        <v>18</v>
      </c>
      <c r="N193" t="s">
        <v>267</v>
      </c>
      <c r="O193" t="s">
        <v>19</v>
      </c>
      <c r="P193">
        <v>11.83</v>
      </c>
      <c r="Q193">
        <v>13.15</v>
      </c>
    </row>
    <row r="194" spans="1:17" x14ac:dyDescent="0.25">
      <c r="A194" t="s">
        <v>221</v>
      </c>
      <c r="B194" s="1">
        <v>45196</v>
      </c>
      <c r="C194" t="s">
        <v>257</v>
      </c>
      <c r="D194">
        <v>2023</v>
      </c>
      <c r="E194" t="s">
        <v>33</v>
      </c>
      <c r="F194" t="s">
        <v>22</v>
      </c>
      <c r="G194" t="s">
        <v>56</v>
      </c>
      <c r="H194">
        <v>23</v>
      </c>
      <c r="I194">
        <v>0</v>
      </c>
      <c r="J194">
        <v>65790798</v>
      </c>
      <c r="K194">
        <v>-65790798</v>
      </c>
      <c r="L194" t="s">
        <v>24</v>
      </c>
      <c r="M194" t="s">
        <v>34</v>
      </c>
      <c r="N194" t="s">
        <v>267</v>
      </c>
      <c r="O194" t="s">
        <v>19</v>
      </c>
      <c r="P194">
        <v>4.75</v>
      </c>
      <c r="Q194">
        <v>7.01</v>
      </c>
    </row>
    <row r="195" spans="1:17" x14ac:dyDescent="0.25">
      <c r="A195" t="s">
        <v>228</v>
      </c>
      <c r="B195" s="1">
        <v>45349</v>
      </c>
      <c r="C195" t="s">
        <v>255</v>
      </c>
      <c r="D195">
        <v>2024</v>
      </c>
      <c r="E195" t="s">
        <v>14</v>
      </c>
      <c r="F195" t="s">
        <v>15</v>
      </c>
      <c r="G195" t="s">
        <v>29</v>
      </c>
      <c r="H195">
        <v>27</v>
      </c>
      <c r="I195">
        <v>0</v>
      </c>
      <c r="J195">
        <v>36989778</v>
      </c>
      <c r="K195">
        <v>-36989778</v>
      </c>
      <c r="L195" t="s">
        <v>69</v>
      </c>
      <c r="M195" t="s">
        <v>34</v>
      </c>
      <c r="N195" t="s">
        <v>265</v>
      </c>
      <c r="O195" t="s">
        <v>19</v>
      </c>
      <c r="P195">
        <v>6.21</v>
      </c>
      <c r="Q195">
        <v>7.07</v>
      </c>
    </row>
    <row r="196" spans="1:17" x14ac:dyDescent="0.25">
      <c r="A196" t="s">
        <v>230</v>
      </c>
      <c r="B196" s="1">
        <v>45367</v>
      </c>
      <c r="C196" t="s">
        <v>256</v>
      </c>
      <c r="D196">
        <v>2024</v>
      </c>
      <c r="E196" t="s">
        <v>67</v>
      </c>
      <c r="F196" t="s">
        <v>50</v>
      </c>
      <c r="G196" t="s">
        <v>23</v>
      </c>
      <c r="H196">
        <v>31</v>
      </c>
      <c r="I196">
        <v>144315130</v>
      </c>
      <c r="J196">
        <v>10059226</v>
      </c>
      <c r="K196">
        <v>134255904</v>
      </c>
      <c r="L196" t="s">
        <v>24</v>
      </c>
      <c r="M196" t="s">
        <v>18</v>
      </c>
      <c r="N196" t="s">
        <v>267</v>
      </c>
      <c r="O196" t="s">
        <v>39</v>
      </c>
      <c r="P196">
        <v>6.52</v>
      </c>
      <c r="Q196">
        <v>3.37</v>
      </c>
    </row>
    <row r="197" spans="1:17" x14ac:dyDescent="0.25">
      <c r="A197" t="s">
        <v>235</v>
      </c>
      <c r="B197" s="1">
        <v>45184</v>
      </c>
      <c r="C197" t="s">
        <v>257</v>
      </c>
      <c r="D197">
        <v>2023</v>
      </c>
      <c r="E197" t="s">
        <v>33</v>
      </c>
      <c r="F197" t="s">
        <v>22</v>
      </c>
      <c r="G197" t="s">
        <v>29</v>
      </c>
      <c r="H197">
        <v>26</v>
      </c>
      <c r="I197">
        <v>17821350</v>
      </c>
      <c r="J197">
        <v>64904546</v>
      </c>
      <c r="K197">
        <v>-47083196</v>
      </c>
      <c r="L197" t="s">
        <v>69</v>
      </c>
      <c r="M197" t="s">
        <v>18</v>
      </c>
      <c r="N197" t="s">
        <v>265</v>
      </c>
      <c r="O197" t="s">
        <v>39</v>
      </c>
      <c r="P197">
        <v>4.75</v>
      </c>
      <c r="Q197">
        <v>7.01</v>
      </c>
    </row>
    <row r="198" spans="1:17" x14ac:dyDescent="0.25">
      <c r="A198" t="s">
        <v>236</v>
      </c>
      <c r="B198" s="1">
        <v>44997</v>
      </c>
      <c r="C198" t="s">
        <v>256</v>
      </c>
      <c r="D198">
        <v>2023</v>
      </c>
      <c r="E198" t="s">
        <v>27</v>
      </c>
      <c r="F198" t="s">
        <v>28</v>
      </c>
      <c r="G198" t="s">
        <v>47</v>
      </c>
      <c r="H198">
        <v>40</v>
      </c>
      <c r="I198">
        <v>0</v>
      </c>
      <c r="J198">
        <v>10528032</v>
      </c>
      <c r="K198">
        <v>-10528032</v>
      </c>
      <c r="L198" t="s">
        <v>69</v>
      </c>
      <c r="M198" t="s">
        <v>34</v>
      </c>
      <c r="N198" t="s">
        <v>265</v>
      </c>
      <c r="O198" t="s">
        <v>39</v>
      </c>
      <c r="P198">
        <v>7.73</v>
      </c>
      <c r="Q198">
        <v>8.5399999999999991</v>
      </c>
    </row>
    <row r="199" spans="1:17" x14ac:dyDescent="0.25">
      <c r="A199" t="s">
        <v>240</v>
      </c>
      <c r="B199" s="1">
        <v>45212</v>
      </c>
      <c r="C199" t="s">
        <v>251</v>
      </c>
      <c r="D199">
        <v>2023</v>
      </c>
      <c r="E199" t="s">
        <v>44</v>
      </c>
      <c r="F199" t="s">
        <v>37</v>
      </c>
      <c r="G199" t="s">
        <v>29</v>
      </c>
      <c r="H199">
        <v>10</v>
      </c>
      <c r="I199">
        <v>0</v>
      </c>
      <c r="J199">
        <v>78900046</v>
      </c>
      <c r="K199">
        <v>-78900046</v>
      </c>
      <c r="L199" t="s">
        <v>24</v>
      </c>
      <c r="M199" t="s">
        <v>25</v>
      </c>
      <c r="N199" t="s">
        <v>267</v>
      </c>
      <c r="O199" t="s">
        <v>19</v>
      </c>
      <c r="P199">
        <v>12.99</v>
      </c>
      <c r="Q199">
        <v>7.6</v>
      </c>
    </row>
    <row r="200" spans="1:17" x14ac:dyDescent="0.25">
      <c r="A200" t="s">
        <v>241</v>
      </c>
      <c r="B200" s="1">
        <v>45057</v>
      </c>
      <c r="C200" t="s">
        <v>259</v>
      </c>
      <c r="D200">
        <v>2023</v>
      </c>
      <c r="E200" t="s">
        <v>54</v>
      </c>
      <c r="F200" t="s">
        <v>55</v>
      </c>
      <c r="G200" t="s">
        <v>47</v>
      </c>
      <c r="H200">
        <v>37</v>
      </c>
      <c r="I200">
        <v>104511115</v>
      </c>
      <c r="J200">
        <v>88701613</v>
      </c>
      <c r="K200">
        <v>15809502</v>
      </c>
      <c r="L200" t="s">
        <v>24</v>
      </c>
      <c r="M200" t="s">
        <v>25</v>
      </c>
      <c r="N200" t="s">
        <v>267</v>
      </c>
      <c r="O200" t="s">
        <v>39</v>
      </c>
      <c r="P200">
        <v>11.83</v>
      </c>
      <c r="Q200">
        <v>13.15</v>
      </c>
    </row>
    <row r="201" spans="1:17" x14ac:dyDescent="0.25">
      <c r="A201" t="s">
        <v>247</v>
      </c>
      <c r="B201" s="1">
        <v>45197</v>
      </c>
      <c r="C201" t="s">
        <v>257</v>
      </c>
      <c r="D201">
        <v>2023</v>
      </c>
      <c r="E201" t="s">
        <v>44</v>
      </c>
      <c r="F201" t="s">
        <v>37</v>
      </c>
      <c r="G201" t="s">
        <v>42</v>
      </c>
      <c r="H201">
        <v>4</v>
      </c>
      <c r="I201">
        <v>147203339</v>
      </c>
      <c r="J201">
        <v>95400710</v>
      </c>
      <c r="K201">
        <v>51802629</v>
      </c>
      <c r="L201" t="s">
        <v>24</v>
      </c>
      <c r="M201" t="s">
        <v>25</v>
      </c>
      <c r="N201" t="s">
        <v>267</v>
      </c>
      <c r="O201" t="s">
        <v>39</v>
      </c>
      <c r="P201">
        <v>12.99</v>
      </c>
      <c r="Q201">
        <v>7.6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7B23-BAC7-4999-8853-9845316AAE5C}">
  <dimension ref="A1:B32"/>
  <sheetViews>
    <sheetView topLeftCell="A25" zoomScale="64" zoomScaleNormal="64" workbookViewId="0">
      <selection activeCell="O42" sqref="O42"/>
    </sheetView>
  </sheetViews>
  <sheetFormatPr defaultRowHeight="15" x14ac:dyDescent="0.25"/>
  <cols>
    <col min="1" max="1" width="13.140625" bestFit="1" customWidth="1"/>
    <col min="2" max="2" width="26.28515625" bestFit="1" customWidth="1"/>
  </cols>
  <sheetData>
    <row r="1" spans="1:2" x14ac:dyDescent="0.25">
      <c r="A1" s="2" t="s">
        <v>268</v>
      </c>
      <c r="B1" t="s">
        <v>273</v>
      </c>
    </row>
    <row r="2" spans="1:2" x14ac:dyDescent="0.25">
      <c r="A2" s="3" t="s">
        <v>61</v>
      </c>
      <c r="B2">
        <v>25</v>
      </c>
    </row>
    <row r="3" spans="1:2" x14ac:dyDescent="0.25">
      <c r="A3" s="3" t="s">
        <v>14</v>
      </c>
      <c r="B3">
        <v>16</v>
      </c>
    </row>
    <row r="4" spans="1:2" x14ac:dyDescent="0.25">
      <c r="A4" s="3" t="s">
        <v>27</v>
      </c>
      <c r="B4">
        <v>11</v>
      </c>
    </row>
    <row r="5" spans="1:2" x14ac:dyDescent="0.25">
      <c r="A5" s="3" t="s">
        <v>54</v>
      </c>
      <c r="B5">
        <v>14</v>
      </c>
    </row>
    <row r="6" spans="1:2" x14ac:dyDescent="0.25">
      <c r="A6" s="3" t="s">
        <v>21</v>
      </c>
      <c r="B6">
        <v>9</v>
      </c>
    </row>
    <row r="7" spans="1:2" x14ac:dyDescent="0.25">
      <c r="A7" s="3" t="s">
        <v>36</v>
      </c>
      <c r="B7">
        <v>23</v>
      </c>
    </row>
    <row r="8" spans="1:2" x14ac:dyDescent="0.25">
      <c r="A8" s="3" t="s">
        <v>52</v>
      </c>
      <c r="B8">
        <v>13</v>
      </c>
    </row>
    <row r="9" spans="1:2" x14ac:dyDescent="0.25">
      <c r="A9" s="3" t="s">
        <v>44</v>
      </c>
      <c r="B9">
        <v>16</v>
      </c>
    </row>
    <row r="10" spans="1:2" x14ac:dyDescent="0.25">
      <c r="A10" s="3" t="s">
        <v>67</v>
      </c>
      <c r="B10">
        <v>10</v>
      </c>
    </row>
    <row r="11" spans="1:2" x14ac:dyDescent="0.25">
      <c r="A11" s="3" t="s">
        <v>58</v>
      </c>
      <c r="B11">
        <v>12</v>
      </c>
    </row>
    <row r="12" spans="1:2" x14ac:dyDescent="0.25">
      <c r="A12" s="3" t="s">
        <v>49</v>
      </c>
      <c r="B12">
        <v>14</v>
      </c>
    </row>
    <row r="13" spans="1:2" x14ac:dyDescent="0.25">
      <c r="A13" s="3" t="s">
        <v>33</v>
      </c>
      <c r="B13">
        <v>14</v>
      </c>
    </row>
    <row r="14" spans="1:2" x14ac:dyDescent="0.25">
      <c r="A14" s="3" t="s">
        <v>65</v>
      </c>
      <c r="B14">
        <v>23</v>
      </c>
    </row>
    <row r="15" spans="1:2" x14ac:dyDescent="0.25">
      <c r="A15" s="3" t="s">
        <v>269</v>
      </c>
      <c r="B15">
        <v>200</v>
      </c>
    </row>
    <row r="19" spans="1:2" x14ac:dyDescent="0.25">
      <c r="A19" s="3" t="s">
        <v>61</v>
      </c>
      <c r="B19">
        <v>25</v>
      </c>
    </row>
    <row r="20" spans="1:2" x14ac:dyDescent="0.25">
      <c r="A20" s="3" t="s">
        <v>14</v>
      </c>
      <c r="B20">
        <v>16</v>
      </c>
    </row>
    <row r="21" spans="1:2" x14ac:dyDescent="0.25">
      <c r="A21" s="3" t="s">
        <v>27</v>
      </c>
      <c r="B21">
        <v>11</v>
      </c>
    </row>
    <row r="22" spans="1:2" x14ac:dyDescent="0.25">
      <c r="A22" s="3" t="s">
        <v>54</v>
      </c>
      <c r="B22">
        <v>14</v>
      </c>
    </row>
    <row r="23" spans="1:2" x14ac:dyDescent="0.25">
      <c r="A23" s="3" t="s">
        <v>21</v>
      </c>
      <c r="B23">
        <v>9</v>
      </c>
    </row>
    <row r="24" spans="1:2" x14ac:dyDescent="0.25">
      <c r="A24" s="3" t="s">
        <v>36</v>
      </c>
      <c r="B24">
        <v>23</v>
      </c>
    </row>
    <row r="25" spans="1:2" x14ac:dyDescent="0.25">
      <c r="A25" s="3" t="s">
        <v>52</v>
      </c>
      <c r="B25">
        <v>13</v>
      </c>
    </row>
    <row r="26" spans="1:2" x14ac:dyDescent="0.25">
      <c r="A26" s="3" t="s">
        <v>44</v>
      </c>
      <c r="B26">
        <v>16</v>
      </c>
    </row>
    <row r="27" spans="1:2" x14ac:dyDescent="0.25">
      <c r="A27" s="3" t="s">
        <v>67</v>
      </c>
      <c r="B27">
        <v>10</v>
      </c>
    </row>
    <row r="28" spans="1:2" x14ac:dyDescent="0.25">
      <c r="A28" s="3" t="s">
        <v>58</v>
      </c>
      <c r="B28">
        <v>12</v>
      </c>
    </row>
    <row r="29" spans="1:2" x14ac:dyDescent="0.25">
      <c r="A29" s="3" t="s">
        <v>49</v>
      </c>
      <c r="B29">
        <v>14</v>
      </c>
    </row>
    <row r="30" spans="1:2" x14ac:dyDescent="0.25">
      <c r="A30" s="3" t="s">
        <v>33</v>
      </c>
      <c r="B30">
        <v>14</v>
      </c>
    </row>
    <row r="31" spans="1:2" x14ac:dyDescent="0.25">
      <c r="A31" s="3" t="s">
        <v>65</v>
      </c>
      <c r="B31">
        <v>23</v>
      </c>
    </row>
    <row r="32" spans="1:2" x14ac:dyDescent="0.25">
      <c r="A32" s="3" t="s">
        <v>65</v>
      </c>
      <c r="B32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DCB48-4A54-4699-BB09-59AEFF8EEA5D}">
  <dimension ref="A1"/>
  <sheetViews>
    <sheetView showGridLines="0" tabSelected="1" topLeftCell="A63" zoomScale="43" zoomScaleNormal="43" workbookViewId="0">
      <selection activeCell="AK79" sqref="AK79"/>
    </sheetView>
  </sheetViews>
  <sheetFormatPr defaultRowHeight="15" x14ac:dyDescent="0.25"/>
  <cols>
    <col min="1" max="16384" width="9.140625" style="5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81AB0E-CF72-4BA6-99C9-11EE45D753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Pivot table</vt:lpstr>
      <vt:lpstr>Table1_2</vt:lpstr>
      <vt:lpstr>Pivot chart</vt:lpstr>
      <vt:lpstr>Dashboard</vt:lpstr>
      <vt:lpstr>TA</vt:lpstr>
      <vt:lpstr>TD</vt:lpstr>
      <vt:lpstr>TI</vt:lpstr>
      <vt:lpstr>TU</vt:lpstr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SHEILA KHAYESHE</cp:lastModifiedBy>
  <dcterms:created xsi:type="dcterms:W3CDTF">2026-04-10T16:10:27Z</dcterms:created>
  <dcterms:modified xsi:type="dcterms:W3CDTF">2026-05-17T19:33:00Z</dcterms:modified>
</cp:coreProperties>
</file>